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ge1_studio" sheetId="2" state="visible" r:id="rId2"/>
    <sheet xmlns:r="http://schemas.openxmlformats.org/officeDocument/2006/relationships" name="Stage1_onebr" sheetId="3" state="visible" r:id="rId3"/>
    <sheet xmlns:r="http://schemas.openxmlformats.org/officeDocument/2006/relationships" name="Stage1_twobr" sheetId="4" state="visible" r:id="rId4"/>
    <sheet xmlns:r="http://schemas.openxmlformats.org/officeDocument/2006/relationships" name="Stage2_studio" sheetId="5" state="visible" r:id="rId5"/>
    <sheet xmlns:r="http://schemas.openxmlformats.org/officeDocument/2006/relationships" name="Stage2_onebr" sheetId="6" state="visible" r:id="rId6"/>
    <sheet xmlns:r="http://schemas.openxmlformats.org/officeDocument/2006/relationships" name="Stage2_twobr" sheetId="7" state="visible" r:id="rId7"/>
    <sheet xmlns:r="http://schemas.openxmlformats.org/officeDocument/2006/relationships" name="Stage3_studio" sheetId="8" state="visible" r:id="rId8"/>
    <sheet xmlns:r="http://schemas.openxmlformats.org/officeDocument/2006/relationships" name="Stage3_onebr" sheetId="9" state="visible" r:id="rId9"/>
    <sheet xmlns:r="http://schemas.openxmlformats.org/officeDocument/2006/relationships" name="Stage3_twobr" sheetId="10" state="visible" r:id="rId10"/>
    <sheet xmlns:r="http://schemas.openxmlformats.org/officeDocument/2006/relationships" name="Stage1_Summary" sheetId="11" state="visible" r:id="rId11"/>
    <sheet xmlns:r="http://schemas.openxmlformats.org/officeDocument/2006/relationships" name="Stage2_Summary" sheetId="12" state="visible" r:id="rId12"/>
    <sheet xmlns:r="http://schemas.openxmlformats.org/officeDocument/2006/relationships" name="Stage3_Summary" sheetId="13" state="visible" r:id="rId13"/>
    <sheet xmlns:r="http://schemas.openxmlformats.org/officeDocument/2006/relationships" name="All_Stages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Synthetic/Test Plan-Generation Results Package</t>
        </is>
      </c>
    </row>
    <row r="3">
      <c r="A3" s="2" t="inlineStr">
        <is>
          <t>Purpose</t>
        </is>
      </c>
      <c r="B3" s="3" t="inlineStr">
        <is>
          <t>Synthetic/test tables for architectural plan-generation demo</t>
        </is>
      </c>
    </row>
    <row r="4">
      <c r="A4" s="2" t="inlineStr">
        <is>
          <t>Structure</t>
        </is>
      </c>
      <c r="B4" s="3" t="inlineStr">
        <is>
          <t>3 stages × 3 types × 8 runs = 72 runs</t>
        </is>
      </c>
    </row>
    <row r="5">
      <c r="A5" s="2" t="inlineStr">
        <is>
          <t>Types</t>
        </is>
      </c>
      <c r="B5" s="3" t="inlineStr">
        <is>
          <t>studio, onebr, twobr</t>
        </is>
      </c>
    </row>
    <row r="6">
      <c r="A6" s="2" t="inlineStr">
        <is>
          <t>Sheets</t>
        </is>
      </c>
      <c r="B6" s="3" t="inlineStr">
        <is>
          <t>9 detail sheets + 3 stage summaries + 1 all-stages summary</t>
        </is>
      </c>
    </row>
    <row r="7">
      <c r="A7" s="2" t="inlineStr">
        <is>
          <t>Important</t>
        </is>
      </c>
      <c r="B7" s="3" t="inlineStr">
        <is>
          <t>These tables are synthetic/test data and should not be presented as real measured outcomes.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Stage 1 - studio | Synthetic/Test Data</t>
        </is>
      </c>
    </row>
    <row r="2">
      <c r="A2" s="4" t="inlineStr">
        <is>
          <t>Note:</t>
        </is>
      </c>
      <c r="B2" t="inlineStr">
        <is>
          <t>Synthetic/test dataset for planning demo; not real measured outcomes.</t>
        </is>
      </c>
    </row>
    <row r="4">
      <c r="A4" s="5" t="inlineStr">
        <is>
          <t>Stage</t>
        </is>
      </c>
      <c r="B4" s="5" t="inlineStr">
        <is>
          <t>Type</t>
        </is>
      </c>
      <c r="C4" s="5" t="inlineStr">
        <is>
          <t>Run</t>
        </is>
      </c>
      <c r="D4" s="5" t="inlineStr">
        <is>
          <t>Seed</t>
        </is>
      </c>
      <c r="E4" s="5" t="inlineStr">
        <is>
          <t>FI</t>
        </is>
      </c>
      <c r="F4" s="5" t="inlineStr">
        <is>
          <t>CS</t>
        </is>
      </c>
      <c r="G4" s="5" t="inlineStr">
        <is>
          <t>UF</t>
        </is>
      </c>
      <c r="H4" s="5" t="inlineStr">
        <is>
          <t>OI</t>
        </is>
      </c>
      <c r="I4" s="5" t="inlineStr">
        <is>
          <t>ODP</t>
        </is>
      </c>
      <c r="J4" s="5" t="inlineStr">
        <is>
          <t>Runtime (s)</t>
        </is>
      </c>
      <c r="K4" s="5" t="inlineStr">
        <is>
          <t>Hard Pass</t>
        </is>
      </c>
    </row>
    <row r="5">
      <c r="A5" s="6" t="inlineStr">
        <is>
          <t>Stage 1</t>
        </is>
      </c>
      <c r="B5" s="6" t="inlineStr">
        <is>
          <t>studio</t>
        </is>
      </c>
      <c r="C5" s="6" t="n">
        <v>1</v>
      </c>
      <c r="D5" s="6" t="n">
        <v>1000</v>
      </c>
      <c r="E5" s="7" t="n">
        <v>70.8</v>
      </c>
      <c r="F5" s="7" t="n">
        <v>66.90000000000001</v>
      </c>
      <c r="G5" s="7" t="n">
        <v>63.1</v>
      </c>
      <c r="H5" s="7" t="n">
        <v>65</v>
      </c>
      <c r="I5" s="7" t="n">
        <v>64.2</v>
      </c>
      <c r="J5" s="7" t="n">
        <v>60.4</v>
      </c>
      <c r="K5" s="6" t="inlineStr">
        <is>
          <t>No</t>
        </is>
      </c>
    </row>
    <row r="6">
      <c r="A6" s="6" t="inlineStr">
        <is>
          <t>Stage 1</t>
        </is>
      </c>
      <c r="B6" s="6" t="inlineStr">
        <is>
          <t>studio</t>
        </is>
      </c>
      <c r="C6" s="6" t="n">
        <v>2</v>
      </c>
      <c r="D6" s="6" t="n">
        <v>1001</v>
      </c>
      <c r="E6" s="7" t="n">
        <v>71.5</v>
      </c>
      <c r="F6" s="7" t="n">
        <v>67.2</v>
      </c>
      <c r="G6" s="7" t="n">
        <v>63.8</v>
      </c>
      <c r="H6" s="7" t="n">
        <v>65.59999999999999</v>
      </c>
      <c r="I6" s="7" t="n">
        <v>64.90000000000001</v>
      </c>
      <c r="J6" s="7" t="n">
        <v>61.1</v>
      </c>
      <c r="K6" s="6" t="inlineStr">
        <is>
          <t>No</t>
        </is>
      </c>
    </row>
    <row r="7">
      <c r="A7" s="6" t="inlineStr">
        <is>
          <t>Stage 1</t>
        </is>
      </c>
      <c r="B7" s="6" t="inlineStr">
        <is>
          <t>studio</t>
        </is>
      </c>
      <c r="C7" s="6" t="n">
        <v>3</v>
      </c>
      <c r="D7" s="6" t="n">
        <v>1002</v>
      </c>
      <c r="E7" s="7" t="n">
        <v>72.09999999999999</v>
      </c>
      <c r="F7" s="7" t="n">
        <v>67.8</v>
      </c>
      <c r="G7" s="7" t="n">
        <v>64</v>
      </c>
      <c r="H7" s="7" t="n">
        <v>66.09999999999999</v>
      </c>
      <c r="I7" s="7" t="n">
        <v>65.2</v>
      </c>
      <c r="J7" s="7" t="n">
        <v>61.5</v>
      </c>
      <c r="K7" s="6" t="inlineStr">
        <is>
          <t>No</t>
        </is>
      </c>
    </row>
    <row r="8">
      <c r="A8" s="6" t="inlineStr">
        <is>
          <t>Stage 1</t>
        </is>
      </c>
      <c r="B8" s="6" t="inlineStr">
        <is>
          <t>studio</t>
        </is>
      </c>
      <c r="C8" s="6" t="n">
        <v>4</v>
      </c>
      <c r="D8" s="6" t="n">
        <v>1003</v>
      </c>
      <c r="E8" s="7" t="n">
        <v>72.90000000000001</v>
      </c>
      <c r="F8" s="7" t="n">
        <v>68.3</v>
      </c>
      <c r="G8" s="7" t="n">
        <v>64.59999999999999</v>
      </c>
      <c r="H8" s="7" t="n">
        <v>66.7</v>
      </c>
      <c r="I8" s="7" t="n">
        <v>65.90000000000001</v>
      </c>
      <c r="J8" s="7" t="n">
        <v>61.9</v>
      </c>
      <c r="K8" s="6" t="inlineStr">
        <is>
          <t>No</t>
        </is>
      </c>
    </row>
    <row r="9">
      <c r="A9" s="6" t="inlineStr">
        <is>
          <t>Stage 1</t>
        </is>
      </c>
      <c r="B9" s="6" t="inlineStr">
        <is>
          <t>studio</t>
        </is>
      </c>
      <c r="C9" s="6" t="n">
        <v>5</v>
      </c>
      <c r="D9" s="6" t="n">
        <v>1004</v>
      </c>
      <c r="E9" s="7" t="n">
        <v>73.40000000000001</v>
      </c>
      <c r="F9" s="7" t="n">
        <v>68.90000000000001</v>
      </c>
      <c r="G9" s="7" t="n">
        <v>65</v>
      </c>
      <c r="H9" s="7" t="n">
        <v>67.09999999999999</v>
      </c>
      <c r="I9" s="7" t="n">
        <v>66.3</v>
      </c>
      <c r="J9" s="7" t="n">
        <v>62</v>
      </c>
      <c r="K9" s="6" t="inlineStr">
        <is>
          <t>Yes</t>
        </is>
      </c>
    </row>
    <row r="10">
      <c r="A10" s="6" t="inlineStr">
        <is>
          <t>Stage 1</t>
        </is>
      </c>
      <c r="B10" s="6" t="inlineStr">
        <is>
          <t>studio</t>
        </is>
      </c>
      <c r="C10" s="6" t="n">
        <v>6</v>
      </c>
      <c r="D10" s="6" t="n">
        <v>1005</v>
      </c>
      <c r="E10" s="7" t="n">
        <v>74</v>
      </c>
      <c r="F10" s="7" t="n">
        <v>69.2</v>
      </c>
      <c r="G10" s="7" t="n">
        <v>65.40000000000001</v>
      </c>
      <c r="H10" s="7" t="n">
        <v>67.5</v>
      </c>
      <c r="I10" s="7" t="n">
        <v>66.8</v>
      </c>
      <c r="J10" s="7" t="n">
        <v>62.4</v>
      </c>
      <c r="K10" s="6" t="inlineStr">
        <is>
          <t>Yes</t>
        </is>
      </c>
    </row>
    <row r="11">
      <c r="A11" s="6" t="inlineStr">
        <is>
          <t>Stage 1</t>
        </is>
      </c>
      <c r="B11" s="6" t="inlineStr">
        <is>
          <t>studio</t>
        </is>
      </c>
      <c r="C11" s="6" t="n">
        <v>7</v>
      </c>
      <c r="D11" s="6" t="n">
        <v>1006</v>
      </c>
      <c r="E11" s="7" t="n">
        <v>74.7</v>
      </c>
      <c r="F11" s="7" t="n">
        <v>69.8</v>
      </c>
      <c r="G11" s="7" t="n">
        <v>65.90000000000001</v>
      </c>
      <c r="H11" s="7" t="n">
        <v>68</v>
      </c>
      <c r="I11" s="7" t="n">
        <v>67.2</v>
      </c>
      <c r="J11" s="7" t="n">
        <v>62.8</v>
      </c>
      <c r="K11" s="6" t="inlineStr">
        <is>
          <t>Yes</t>
        </is>
      </c>
    </row>
    <row r="12">
      <c r="A12" s="6" t="inlineStr">
        <is>
          <t>Stage 1</t>
        </is>
      </c>
      <c r="B12" s="6" t="inlineStr">
        <is>
          <t>studio</t>
        </is>
      </c>
      <c r="C12" s="6" t="n">
        <v>8</v>
      </c>
      <c r="D12" s="6" t="n">
        <v>1007</v>
      </c>
      <c r="E12" s="7" t="n">
        <v>75.3</v>
      </c>
      <c r="F12" s="7" t="n">
        <v>70.09999999999999</v>
      </c>
      <c r="G12" s="7" t="n">
        <v>66.3</v>
      </c>
      <c r="H12" s="7" t="n">
        <v>68.40000000000001</v>
      </c>
      <c r="I12" s="7" t="n">
        <v>67.59999999999999</v>
      </c>
      <c r="J12" s="7" t="n">
        <v>63.2</v>
      </c>
      <c r="K12" s="6" t="inlineStr">
        <is>
          <t>Yes</t>
        </is>
      </c>
    </row>
    <row r="13">
      <c r="A13" s="4" t="inlineStr">
        <is>
          <t>Summary / Mean</t>
        </is>
      </c>
      <c r="B13" s="4" t="inlineStr">
        <is>
          <t>studio</t>
        </is>
      </c>
      <c r="C13" s="4" t="n">
        <v>8</v>
      </c>
      <c r="D13" s="4" t="inlineStr">
        <is>
          <t>—</t>
        </is>
      </c>
      <c r="E13" s="8">
        <f>ROUND(AVERAGE(E5:E12),1)</f>
        <v/>
      </c>
      <c r="F13" s="8">
        <f>ROUND(AVERAGE(F5:F12),1)</f>
        <v/>
      </c>
      <c r="G13" s="8">
        <f>ROUND(AVERAGE(G5:G12),1)</f>
        <v/>
      </c>
      <c r="H13" s="8">
        <f>ROUND(AVERAGE(H5:H12),1)</f>
        <v/>
      </c>
      <c r="I13" s="8">
        <f>ROUND(AVERAGE(I5:I12),1)</f>
        <v/>
      </c>
      <c r="J13" s="8">
        <f>ROUND(AVERAGE(J5:J12),1)</f>
        <v/>
      </c>
      <c r="K13" s="9">
        <f>COUNTIF(K5:K12,"Yes")&amp;" / "&amp;COUNT(C5:C12)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Stage 1 - onebr | Synthetic/Test Data</t>
        </is>
      </c>
    </row>
    <row r="2">
      <c r="A2" s="4" t="inlineStr">
        <is>
          <t>Note:</t>
        </is>
      </c>
      <c r="B2" t="inlineStr">
        <is>
          <t>Synthetic/test dataset for planning demo; not real measured outcomes.</t>
        </is>
      </c>
    </row>
    <row r="4">
      <c r="A4" s="5" t="inlineStr">
        <is>
          <t>Stage</t>
        </is>
      </c>
      <c r="B4" s="5" t="inlineStr">
        <is>
          <t>Type</t>
        </is>
      </c>
      <c r="C4" s="5" t="inlineStr">
        <is>
          <t>Run</t>
        </is>
      </c>
      <c r="D4" s="5" t="inlineStr">
        <is>
          <t>Seed</t>
        </is>
      </c>
      <c r="E4" s="5" t="inlineStr">
        <is>
          <t>FI</t>
        </is>
      </c>
      <c r="F4" s="5" t="inlineStr">
        <is>
          <t>CS</t>
        </is>
      </c>
      <c r="G4" s="5" t="inlineStr">
        <is>
          <t>UF</t>
        </is>
      </c>
      <c r="H4" s="5" t="inlineStr">
        <is>
          <t>OI</t>
        </is>
      </c>
      <c r="I4" s="5" t="inlineStr">
        <is>
          <t>ODP</t>
        </is>
      </c>
      <c r="J4" s="5" t="inlineStr">
        <is>
          <t>Runtime (s)</t>
        </is>
      </c>
      <c r="K4" s="5" t="inlineStr">
        <is>
          <t>Hard Pass</t>
        </is>
      </c>
    </row>
    <row r="5">
      <c r="A5" s="6" t="inlineStr">
        <is>
          <t>Stage 1</t>
        </is>
      </c>
      <c r="B5" s="6" t="inlineStr">
        <is>
          <t>onebr</t>
        </is>
      </c>
      <c r="C5" s="6" t="n">
        <v>1</v>
      </c>
      <c r="D5" s="6" t="n">
        <v>1100</v>
      </c>
      <c r="E5" s="7" t="n">
        <v>72.90000000000001</v>
      </c>
      <c r="F5" s="7" t="n">
        <v>68</v>
      </c>
      <c r="G5" s="7" t="n">
        <v>64.40000000000001</v>
      </c>
      <c r="H5" s="7" t="n">
        <v>66.8</v>
      </c>
      <c r="I5" s="7" t="n">
        <v>65.90000000000001</v>
      </c>
      <c r="J5" s="7" t="n">
        <v>101.2</v>
      </c>
      <c r="K5" s="6" t="inlineStr">
        <is>
          <t>No</t>
        </is>
      </c>
    </row>
    <row r="6">
      <c r="A6" s="6" t="inlineStr">
        <is>
          <t>Stage 1</t>
        </is>
      </c>
      <c r="B6" s="6" t="inlineStr">
        <is>
          <t>onebr</t>
        </is>
      </c>
      <c r="C6" s="6" t="n">
        <v>2</v>
      </c>
      <c r="D6" s="6" t="n">
        <v>1101</v>
      </c>
      <c r="E6" s="7" t="n">
        <v>73.8</v>
      </c>
      <c r="F6" s="7" t="n">
        <v>68.59999999999999</v>
      </c>
      <c r="G6" s="7" t="n">
        <v>65</v>
      </c>
      <c r="H6" s="7" t="n">
        <v>67.40000000000001</v>
      </c>
      <c r="I6" s="7" t="n">
        <v>66.5</v>
      </c>
      <c r="J6" s="7" t="n">
        <v>102.4</v>
      </c>
      <c r="K6" s="6" t="inlineStr">
        <is>
          <t>No</t>
        </is>
      </c>
    </row>
    <row r="7">
      <c r="A7" s="6" t="inlineStr">
        <is>
          <t>Stage 1</t>
        </is>
      </c>
      <c r="B7" s="6" t="inlineStr">
        <is>
          <t>onebr</t>
        </is>
      </c>
      <c r="C7" s="6" t="n">
        <v>3</v>
      </c>
      <c r="D7" s="6" t="n">
        <v>1102</v>
      </c>
      <c r="E7" s="7" t="n">
        <v>74.40000000000001</v>
      </c>
      <c r="F7" s="7" t="n">
        <v>69.2</v>
      </c>
      <c r="G7" s="7" t="n">
        <v>65.5</v>
      </c>
      <c r="H7" s="7" t="n">
        <v>68</v>
      </c>
      <c r="I7" s="7" t="n">
        <v>67</v>
      </c>
      <c r="J7" s="7" t="n">
        <v>103</v>
      </c>
      <c r="K7" s="6" t="inlineStr">
        <is>
          <t>No</t>
        </is>
      </c>
    </row>
    <row r="8">
      <c r="A8" s="6" t="inlineStr">
        <is>
          <t>Stage 1</t>
        </is>
      </c>
      <c r="B8" s="6" t="inlineStr">
        <is>
          <t>onebr</t>
        </is>
      </c>
      <c r="C8" s="6" t="n">
        <v>4</v>
      </c>
      <c r="D8" s="6" t="n">
        <v>1103</v>
      </c>
      <c r="E8" s="7" t="n">
        <v>75</v>
      </c>
      <c r="F8" s="7" t="n">
        <v>69.8</v>
      </c>
      <c r="G8" s="7" t="n">
        <v>66</v>
      </c>
      <c r="H8" s="7" t="n">
        <v>68.5</v>
      </c>
      <c r="I8" s="7" t="n">
        <v>67.5</v>
      </c>
      <c r="J8" s="7" t="n">
        <v>103.9</v>
      </c>
      <c r="K8" s="6" t="inlineStr">
        <is>
          <t>Yes</t>
        </is>
      </c>
    </row>
    <row r="9">
      <c r="A9" s="6" t="inlineStr">
        <is>
          <t>Stage 1</t>
        </is>
      </c>
      <c r="B9" s="6" t="inlineStr">
        <is>
          <t>onebr</t>
        </is>
      </c>
      <c r="C9" s="6" t="n">
        <v>5</v>
      </c>
      <c r="D9" s="6" t="n">
        <v>1104</v>
      </c>
      <c r="E9" s="7" t="n">
        <v>75.59999999999999</v>
      </c>
      <c r="F9" s="7" t="n">
        <v>70.3</v>
      </c>
      <c r="G9" s="7" t="n">
        <v>66.40000000000001</v>
      </c>
      <c r="H9" s="7" t="n">
        <v>69</v>
      </c>
      <c r="I9" s="7" t="n">
        <v>68</v>
      </c>
      <c r="J9" s="7" t="n">
        <v>104.6</v>
      </c>
      <c r="K9" s="6" t="inlineStr">
        <is>
          <t>Yes</t>
        </is>
      </c>
    </row>
    <row r="10">
      <c r="A10" s="6" t="inlineStr">
        <is>
          <t>Stage 1</t>
        </is>
      </c>
      <c r="B10" s="6" t="inlineStr">
        <is>
          <t>onebr</t>
        </is>
      </c>
      <c r="C10" s="6" t="n">
        <v>6</v>
      </c>
      <c r="D10" s="6" t="n">
        <v>1105</v>
      </c>
      <c r="E10" s="7" t="n">
        <v>76.09999999999999</v>
      </c>
      <c r="F10" s="7" t="n">
        <v>70.8</v>
      </c>
      <c r="G10" s="7" t="n">
        <v>66.8</v>
      </c>
      <c r="H10" s="7" t="n">
        <v>69.40000000000001</v>
      </c>
      <c r="I10" s="7" t="n">
        <v>68.3</v>
      </c>
      <c r="J10" s="7" t="n">
        <v>105.1</v>
      </c>
      <c r="K10" s="6" t="inlineStr">
        <is>
          <t>Yes</t>
        </is>
      </c>
    </row>
    <row r="11">
      <c r="A11" s="6" t="inlineStr">
        <is>
          <t>Stage 1</t>
        </is>
      </c>
      <c r="B11" s="6" t="inlineStr">
        <is>
          <t>onebr</t>
        </is>
      </c>
      <c r="C11" s="6" t="n">
        <v>7</v>
      </c>
      <c r="D11" s="6" t="n">
        <v>1106</v>
      </c>
      <c r="E11" s="7" t="n">
        <v>76.8</v>
      </c>
      <c r="F11" s="7" t="n">
        <v>71.09999999999999</v>
      </c>
      <c r="G11" s="7" t="n">
        <v>67.2</v>
      </c>
      <c r="H11" s="7" t="n">
        <v>69.8</v>
      </c>
      <c r="I11" s="7" t="n">
        <v>68.7</v>
      </c>
      <c r="J11" s="7" t="n">
        <v>105.9</v>
      </c>
      <c r="K11" s="6" t="inlineStr">
        <is>
          <t>Yes</t>
        </is>
      </c>
    </row>
    <row r="12">
      <c r="A12" s="6" t="inlineStr">
        <is>
          <t>Stage 1</t>
        </is>
      </c>
      <c r="B12" s="6" t="inlineStr">
        <is>
          <t>onebr</t>
        </is>
      </c>
      <c r="C12" s="6" t="n">
        <v>8</v>
      </c>
      <c r="D12" s="6" t="n">
        <v>1107</v>
      </c>
      <c r="E12" s="7" t="n">
        <v>77.3</v>
      </c>
      <c r="F12" s="7" t="n">
        <v>71.5</v>
      </c>
      <c r="G12" s="7" t="n">
        <v>67.7</v>
      </c>
      <c r="H12" s="7" t="n">
        <v>70.2</v>
      </c>
      <c r="I12" s="7" t="n">
        <v>69.09999999999999</v>
      </c>
      <c r="J12" s="7" t="n">
        <v>106.3</v>
      </c>
      <c r="K12" s="6" t="inlineStr">
        <is>
          <t>Yes</t>
        </is>
      </c>
    </row>
    <row r="13">
      <c r="A13" s="4" t="inlineStr">
        <is>
          <t>Summary / Mean</t>
        </is>
      </c>
      <c r="B13" s="4" t="inlineStr">
        <is>
          <t>onebr</t>
        </is>
      </c>
      <c r="C13" s="4" t="n">
        <v>8</v>
      </c>
      <c r="D13" s="4" t="inlineStr">
        <is>
          <t>—</t>
        </is>
      </c>
      <c r="E13" s="8">
        <f>ROUND(AVERAGE(E5:E12),1)</f>
        <v/>
      </c>
      <c r="F13" s="8">
        <f>ROUND(AVERAGE(F5:F12),1)</f>
        <v/>
      </c>
      <c r="G13" s="8">
        <f>ROUND(AVERAGE(G5:G12),1)</f>
        <v/>
      </c>
      <c r="H13" s="8">
        <f>ROUND(AVERAGE(H5:H12),1)</f>
        <v/>
      </c>
      <c r="I13" s="8">
        <f>ROUND(AVERAGE(I5:I12),1)</f>
        <v/>
      </c>
      <c r="J13" s="8">
        <f>ROUND(AVERAGE(J5:J12),1)</f>
        <v/>
      </c>
      <c r="K13" s="9">
        <f>COUNTIF(K5:K12,"Yes")&amp;" / "&amp;COUNT(C5:C12)</f>
        <v/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Stage 1 - twobr | Synthetic/Test Data</t>
        </is>
      </c>
    </row>
    <row r="2">
      <c r="A2" s="4" t="inlineStr">
        <is>
          <t>Note:</t>
        </is>
      </c>
      <c r="B2" t="inlineStr">
        <is>
          <t>Synthetic/test dataset for planning demo; not real measured outcomes.</t>
        </is>
      </c>
    </row>
    <row r="4">
      <c r="A4" s="5" t="inlineStr">
        <is>
          <t>Stage</t>
        </is>
      </c>
      <c r="B4" s="5" t="inlineStr">
        <is>
          <t>Type</t>
        </is>
      </c>
      <c r="C4" s="5" t="inlineStr">
        <is>
          <t>Run</t>
        </is>
      </c>
      <c r="D4" s="5" t="inlineStr">
        <is>
          <t>Seed</t>
        </is>
      </c>
      <c r="E4" s="5" t="inlineStr">
        <is>
          <t>FI</t>
        </is>
      </c>
      <c r="F4" s="5" t="inlineStr">
        <is>
          <t>CS</t>
        </is>
      </c>
      <c r="G4" s="5" t="inlineStr">
        <is>
          <t>UF</t>
        </is>
      </c>
      <c r="H4" s="5" t="inlineStr">
        <is>
          <t>OI</t>
        </is>
      </c>
      <c r="I4" s="5" t="inlineStr">
        <is>
          <t>ODP</t>
        </is>
      </c>
      <c r="J4" s="5" t="inlineStr">
        <is>
          <t>Runtime (s)</t>
        </is>
      </c>
      <c r="K4" s="5" t="inlineStr">
        <is>
          <t>Hard Pass</t>
        </is>
      </c>
    </row>
    <row r="5">
      <c r="A5" s="6" t="inlineStr">
        <is>
          <t>Stage 1</t>
        </is>
      </c>
      <c r="B5" s="6" t="inlineStr">
        <is>
          <t>twobr</t>
        </is>
      </c>
      <c r="C5" s="6" t="n">
        <v>1</v>
      </c>
      <c r="D5" s="6" t="n">
        <v>1200</v>
      </c>
      <c r="E5" s="7" t="n">
        <v>71.8</v>
      </c>
      <c r="F5" s="7" t="n">
        <v>67.40000000000001</v>
      </c>
      <c r="G5" s="7" t="n">
        <v>63.9</v>
      </c>
      <c r="H5" s="7" t="n">
        <v>66</v>
      </c>
      <c r="I5" s="7" t="n">
        <v>65.09999999999999</v>
      </c>
      <c r="J5" s="7" t="n">
        <v>125</v>
      </c>
      <c r="K5" s="6" t="inlineStr">
        <is>
          <t>No</t>
        </is>
      </c>
    </row>
    <row r="6">
      <c r="A6" s="6" t="inlineStr">
        <is>
          <t>Stage 1</t>
        </is>
      </c>
      <c r="B6" s="6" t="inlineStr">
        <is>
          <t>twobr</t>
        </is>
      </c>
      <c r="C6" s="6" t="n">
        <v>2</v>
      </c>
      <c r="D6" s="6" t="n">
        <v>1201</v>
      </c>
      <c r="E6" s="7" t="n">
        <v>72.59999999999999</v>
      </c>
      <c r="F6" s="7" t="n">
        <v>68</v>
      </c>
      <c r="G6" s="7" t="n">
        <v>64.5</v>
      </c>
      <c r="H6" s="7" t="n">
        <v>66.59999999999999</v>
      </c>
      <c r="I6" s="7" t="n">
        <v>65.8</v>
      </c>
      <c r="J6" s="7" t="n">
        <v>126.3</v>
      </c>
      <c r="K6" s="6" t="inlineStr">
        <is>
          <t>No</t>
        </is>
      </c>
    </row>
    <row r="7">
      <c r="A7" s="6" t="inlineStr">
        <is>
          <t>Stage 1</t>
        </is>
      </c>
      <c r="B7" s="6" t="inlineStr">
        <is>
          <t>twobr</t>
        </is>
      </c>
      <c r="C7" s="6" t="n">
        <v>3</v>
      </c>
      <c r="D7" s="6" t="n">
        <v>1202</v>
      </c>
      <c r="E7" s="7" t="n">
        <v>73.2</v>
      </c>
      <c r="F7" s="7" t="n">
        <v>68.5</v>
      </c>
      <c r="G7" s="7" t="n">
        <v>65</v>
      </c>
      <c r="H7" s="7" t="n">
        <v>67.09999999999999</v>
      </c>
      <c r="I7" s="7" t="n">
        <v>66.2</v>
      </c>
      <c r="J7" s="7" t="n">
        <v>127.1</v>
      </c>
      <c r="K7" s="6" t="inlineStr">
        <is>
          <t>No</t>
        </is>
      </c>
    </row>
    <row r="8">
      <c r="A8" s="6" t="inlineStr">
        <is>
          <t>Stage 1</t>
        </is>
      </c>
      <c r="B8" s="6" t="inlineStr">
        <is>
          <t>twobr</t>
        </is>
      </c>
      <c r="C8" s="6" t="n">
        <v>4</v>
      </c>
      <c r="D8" s="6" t="n">
        <v>1203</v>
      </c>
      <c r="E8" s="7" t="n">
        <v>73.90000000000001</v>
      </c>
      <c r="F8" s="7" t="n">
        <v>69</v>
      </c>
      <c r="G8" s="7" t="n">
        <v>65.40000000000001</v>
      </c>
      <c r="H8" s="7" t="n">
        <v>67.59999999999999</v>
      </c>
      <c r="I8" s="7" t="n">
        <v>66.7</v>
      </c>
      <c r="J8" s="7" t="n">
        <v>128</v>
      </c>
      <c r="K8" s="6" t="inlineStr">
        <is>
          <t>Yes</t>
        </is>
      </c>
    </row>
    <row r="9">
      <c r="A9" s="6" t="inlineStr">
        <is>
          <t>Stage 1</t>
        </is>
      </c>
      <c r="B9" s="6" t="inlineStr">
        <is>
          <t>twobr</t>
        </is>
      </c>
      <c r="C9" s="6" t="n">
        <v>5</v>
      </c>
      <c r="D9" s="6" t="n">
        <v>1204</v>
      </c>
      <c r="E9" s="7" t="n">
        <v>74.5</v>
      </c>
      <c r="F9" s="7" t="n">
        <v>69.40000000000001</v>
      </c>
      <c r="G9" s="7" t="n">
        <v>65.90000000000001</v>
      </c>
      <c r="H9" s="7" t="n">
        <v>68</v>
      </c>
      <c r="I9" s="7" t="n">
        <v>67.09999999999999</v>
      </c>
      <c r="J9" s="7" t="n">
        <v>128.8</v>
      </c>
      <c r="K9" s="6" t="inlineStr">
        <is>
          <t>Yes</t>
        </is>
      </c>
    </row>
    <row r="10">
      <c r="A10" s="6" t="inlineStr">
        <is>
          <t>Stage 1</t>
        </is>
      </c>
      <c r="B10" s="6" t="inlineStr">
        <is>
          <t>twobr</t>
        </is>
      </c>
      <c r="C10" s="6" t="n">
        <v>6</v>
      </c>
      <c r="D10" s="6" t="n">
        <v>1205</v>
      </c>
      <c r="E10" s="7" t="n">
        <v>75</v>
      </c>
      <c r="F10" s="7" t="n">
        <v>69.90000000000001</v>
      </c>
      <c r="G10" s="7" t="n">
        <v>66.2</v>
      </c>
      <c r="H10" s="7" t="n">
        <v>68.40000000000001</v>
      </c>
      <c r="I10" s="7" t="n">
        <v>67.5</v>
      </c>
      <c r="J10" s="7" t="n">
        <v>129.4</v>
      </c>
      <c r="K10" s="6" t="inlineStr">
        <is>
          <t>Yes</t>
        </is>
      </c>
    </row>
    <row r="11">
      <c r="A11" s="6" t="inlineStr">
        <is>
          <t>Stage 1</t>
        </is>
      </c>
      <c r="B11" s="6" t="inlineStr">
        <is>
          <t>twobr</t>
        </is>
      </c>
      <c r="C11" s="6" t="n">
        <v>7</v>
      </c>
      <c r="D11" s="6" t="n">
        <v>1206</v>
      </c>
      <c r="E11" s="7" t="n">
        <v>75.59999999999999</v>
      </c>
      <c r="F11" s="7" t="n">
        <v>70.3</v>
      </c>
      <c r="G11" s="7" t="n">
        <v>66.7</v>
      </c>
      <c r="H11" s="7" t="n">
        <v>68.90000000000001</v>
      </c>
      <c r="I11" s="7" t="n">
        <v>68</v>
      </c>
      <c r="J11" s="7" t="n">
        <v>130.1</v>
      </c>
      <c r="K11" s="6" t="inlineStr">
        <is>
          <t>Yes</t>
        </is>
      </c>
    </row>
    <row r="12">
      <c r="A12" s="6" t="inlineStr">
        <is>
          <t>Stage 1</t>
        </is>
      </c>
      <c r="B12" s="6" t="inlineStr">
        <is>
          <t>twobr</t>
        </is>
      </c>
      <c r="C12" s="6" t="n">
        <v>8</v>
      </c>
      <c r="D12" s="6" t="n">
        <v>1207</v>
      </c>
      <c r="E12" s="7" t="n">
        <v>76.09999999999999</v>
      </c>
      <c r="F12" s="7" t="n">
        <v>70.7</v>
      </c>
      <c r="G12" s="7" t="n">
        <v>67</v>
      </c>
      <c r="H12" s="7" t="n">
        <v>69.2</v>
      </c>
      <c r="I12" s="7" t="n">
        <v>68.3</v>
      </c>
      <c r="J12" s="7" t="n">
        <v>130.9</v>
      </c>
      <c r="K12" s="6" t="inlineStr">
        <is>
          <t>Yes</t>
        </is>
      </c>
    </row>
    <row r="13">
      <c r="A13" s="4" t="inlineStr">
        <is>
          <t>Summary / Mean</t>
        </is>
      </c>
      <c r="B13" s="4" t="inlineStr">
        <is>
          <t>twobr</t>
        </is>
      </c>
      <c r="C13" s="4" t="n">
        <v>8</v>
      </c>
      <c r="D13" s="4" t="inlineStr">
        <is>
          <t>—</t>
        </is>
      </c>
      <c r="E13" s="8">
        <f>ROUND(AVERAGE(E5:E12),1)</f>
        <v/>
      </c>
      <c r="F13" s="8">
        <f>ROUND(AVERAGE(F5:F12),1)</f>
        <v/>
      </c>
      <c r="G13" s="8">
        <f>ROUND(AVERAGE(G5:G12),1)</f>
        <v/>
      </c>
      <c r="H13" s="8">
        <f>ROUND(AVERAGE(H5:H12),1)</f>
        <v/>
      </c>
      <c r="I13" s="8">
        <f>ROUND(AVERAGE(I5:I12),1)</f>
        <v/>
      </c>
      <c r="J13" s="8">
        <f>ROUND(AVERAGE(J5:J12),1)</f>
        <v/>
      </c>
      <c r="K13" s="9">
        <f>COUNTIF(K5:K12,"Yes")&amp;" / "&amp;COUNT(C5:C12)</f>
        <v/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Stage 2 - studio | Synthetic/Test Data</t>
        </is>
      </c>
    </row>
    <row r="2">
      <c r="A2" s="4" t="inlineStr">
        <is>
          <t>Note:</t>
        </is>
      </c>
      <c r="B2" t="inlineStr">
        <is>
          <t>Synthetic/test dataset for planning demo; not real measured outcomes.</t>
        </is>
      </c>
    </row>
    <row r="4">
      <c r="A4" s="5" t="inlineStr">
        <is>
          <t>Stage</t>
        </is>
      </c>
      <c r="B4" s="5" t="inlineStr">
        <is>
          <t>Type</t>
        </is>
      </c>
      <c r="C4" s="5" t="inlineStr">
        <is>
          <t>Run</t>
        </is>
      </c>
      <c r="D4" s="5" t="inlineStr">
        <is>
          <t>Seed</t>
        </is>
      </c>
      <c r="E4" s="5" t="inlineStr">
        <is>
          <t>FI</t>
        </is>
      </c>
      <c r="F4" s="5" t="inlineStr">
        <is>
          <t>CS</t>
        </is>
      </c>
      <c r="G4" s="5" t="inlineStr">
        <is>
          <t>UF</t>
        </is>
      </c>
      <c r="H4" s="5" t="inlineStr">
        <is>
          <t>OI</t>
        </is>
      </c>
      <c r="I4" s="5" t="inlineStr">
        <is>
          <t>ODP</t>
        </is>
      </c>
      <c r="J4" s="5" t="inlineStr">
        <is>
          <t>Runtime (s)</t>
        </is>
      </c>
      <c r="K4" s="5" t="inlineStr">
        <is>
          <t>Hard Pass</t>
        </is>
      </c>
    </row>
    <row r="5">
      <c r="A5" s="6" t="inlineStr">
        <is>
          <t>Stage 2</t>
        </is>
      </c>
      <c r="B5" s="6" t="inlineStr">
        <is>
          <t>studio</t>
        </is>
      </c>
      <c r="C5" s="6" t="n">
        <v>1</v>
      </c>
      <c r="D5" s="6" t="n">
        <v>2000</v>
      </c>
      <c r="E5" s="7" t="n">
        <v>82.5</v>
      </c>
      <c r="F5" s="7" t="n">
        <v>78.8</v>
      </c>
      <c r="G5" s="7" t="n">
        <v>76.3</v>
      </c>
      <c r="H5" s="7" t="n">
        <v>80.2</v>
      </c>
      <c r="I5" s="7" t="n">
        <v>78.90000000000001</v>
      </c>
      <c r="J5" s="7" t="n">
        <v>58.8</v>
      </c>
      <c r="K5" s="6" t="inlineStr">
        <is>
          <t>No</t>
        </is>
      </c>
    </row>
    <row r="6">
      <c r="A6" s="6" t="inlineStr">
        <is>
          <t>Stage 2</t>
        </is>
      </c>
      <c r="B6" s="6" t="inlineStr">
        <is>
          <t>studio</t>
        </is>
      </c>
      <c r="C6" s="6" t="n">
        <v>2</v>
      </c>
      <c r="D6" s="6" t="n">
        <v>2001</v>
      </c>
      <c r="E6" s="7" t="n">
        <v>83.09999999999999</v>
      </c>
      <c r="F6" s="7" t="n">
        <v>79.40000000000001</v>
      </c>
      <c r="G6" s="7" t="n">
        <v>76.90000000000001</v>
      </c>
      <c r="H6" s="7" t="n">
        <v>80.8</v>
      </c>
      <c r="I6" s="7" t="n">
        <v>79.5</v>
      </c>
      <c r="J6" s="7" t="n">
        <v>58.4</v>
      </c>
      <c r="K6" s="6" t="inlineStr">
        <is>
          <t>No</t>
        </is>
      </c>
    </row>
    <row r="7">
      <c r="A7" s="6" t="inlineStr">
        <is>
          <t>Stage 2</t>
        </is>
      </c>
      <c r="B7" s="6" t="inlineStr">
        <is>
          <t>studio</t>
        </is>
      </c>
      <c r="C7" s="6" t="n">
        <v>3</v>
      </c>
      <c r="D7" s="6" t="n">
        <v>2002</v>
      </c>
      <c r="E7" s="7" t="n">
        <v>83.7</v>
      </c>
      <c r="F7" s="7" t="n">
        <v>80</v>
      </c>
      <c r="G7" s="7" t="n">
        <v>77.5</v>
      </c>
      <c r="H7" s="7" t="n">
        <v>81.40000000000001</v>
      </c>
      <c r="I7" s="7" t="n">
        <v>80.09999999999999</v>
      </c>
      <c r="J7" s="7" t="n">
        <v>58.1</v>
      </c>
      <c r="K7" s="6" t="inlineStr">
        <is>
          <t>Yes</t>
        </is>
      </c>
    </row>
    <row r="8">
      <c r="A8" s="6" t="inlineStr">
        <is>
          <t>Stage 2</t>
        </is>
      </c>
      <c r="B8" s="6" t="inlineStr">
        <is>
          <t>studio</t>
        </is>
      </c>
      <c r="C8" s="6" t="n">
        <v>4</v>
      </c>
      <c r="D8" s="6" t="n">
        <v>2003</v>
      </c>
      <c r="E8" s="7" t="n">
        <v>84.3</v>
      </c>
      <c r="F8" s="7" t="n">
        <v>80.59999999999999</v>
      </c>
      <c r="G8" s="7" t="n">
        <v>78.09999999999999</v>
      </c>
      <c r="H8" s="7" t="n">
        <v>82</v>
      </c>
      <c r="I8" s="7" t="n">
        <v>80.7</v>
      </c>
      <c r="J8" s="7" t="n">
        <v>57.8</v>
      </c>
      <c r="K8" s="6" t="inlineStr">
        <is>
          <t>Yes</t>
        </is>
      </c>
    </row>
    <row r="9">
      <c r="A9" s="6" t="inlineStr">
        <is>
          <t>Stage 2</t>
        </is>
      </c>
      <c r="B9" s="6" t="inlineStr">
        <is>
          <t>studio</t>
        </is>
      </c>
      <c r="C9" s="6" t="n">
        <v>5</v>
      </c>
      <c r="D9" s="6" t="n">
        <v>2004</v>
      </c>
      <c r="E9" s="7" t="n">
        <v>84.90000000000001</v>
      </c>
      <c r="F9" s="7" t="n">
        <v>81.2</v>
      </c>
      <c r="G9" s="7" t="n">
        <v>78.7</v>
      </c>
      <c r="H9" s="7" t="n">
        <v>82.59999999999999</v>
      </c>
      <c r="I9" s="7" t="n">
        <v>81.3</v>
      </c>
      <c r="J9" s="7" t="n">
        <v>57.4</v>
      </c>
      <c r="K9" s="6" t="inlineStr">
        <is>
          <t>Yes</t>
        </is>
      </c>
    </row>
    <row r="10">
      <c r="A10" s="6" t="inlineStr">
        <is>
          <t>Stage 2</t>
        </is>
      </c>
      <c r="B10" s="6" t="inlineStr">
        <is>
          <t>studio</t>
        </is>
      </c>
      <c r="C10" s="6" t="n">
        <v>6</v>
      </c>
      <c r="D10" s="6" t="n">
        <v>2005</v>
      </c>
      <c r="E10" s="7" t="n">
        <v>85.5</v>
      </c>
      <c r="F10" s="7" t="n">
        <v>81.8</v>
      </c>
      <c r="G10" s="7" t="n">
        <v>79.3</v>
      </c>
      <c r="H10" s="7" t="n">
        <v>83.2</v>
      </c>
      <c r="I10" s="7" t="n">
        <v>81.90000000000001</v>
      </c>
      <c r="J10" s="7" t="n">
        <v>57.1</v>
      </c>
      <c r="K10" s="6" t="inlineStr">
        <is>
          <t>Yes</t>
        </is>
      </c>
    </row>
    <row r="11">
      <c r="A11" s="6" t="inlineStr">
        <is>
          <t>Stage 2</t>
        </is>
      </c>
      <c r="B11" s="6" t="inlineStr">
        <is>
          <t>studio</t>
        </is>
      </c>
      <c r="C11" s="6" t="n">
        <v>7</v>
      </c>
      <c r="D11" s="6" t="n">
        <v>2006</v>
      </c>
      <c r="E11" s="7" t="n">
        <v>86.09999999999999</v>
      </c>
      <c r="F11" s="7" t="n">
        <v>82.40000000000001</v>
      </c>
      <c r="G11" s="7" t="n">
        <v>79.90000000000001</v>
      </c>
      <c r="H11" s="7" t="n">
        <v>83.8</v>
      </c>
      <c r="I11" s="7" t="n">
        <v>82.5</v>
      </c>
      <c r="J11" s="7" t="n">
        <v>56.8</v>
      </c>
      <c r="K11" s="6" t="inlineStr">
        <is>
          <t>Yes</t>
        </is>
      </c>
    </row>
    <row r="12">
      <c r="A12" s="6" t="inlineStr">
        <is>
          <t>Stage 2</t>
        </is>
      </c>
      <c r="B12" s="6" t="inlineStr">
        <is>
          <t>studio</t>
        </is>
      </c>
      <c r="C12" s="6" t="n">
        <v>8</v>
      </c>
      <c r="D12" s="6" t="n">
        <v>2007</v>
      </c>
      <c r="E12" s="7" t="n">
        <v>86.7</v>
      </c>
      <c r="F12" s="7" t="n">
        <v>83</v>
      </c>
      <c r="G12" s="7" t="n">
        <v>80.5</v>
      </c>
      <c r="H12" s="7" t="n">
        <v>84.40000000000001</v>
      </c>
      <c r="I12" s="7" t="n">
        <v>83.09999999999999</v>
      </c>
      <c r="J12" s="7" t="n">
        <v>56.4</v>
      </c>
      <c r="K12" s="6" t="inlineStr">
        <is>
          <t>Yes</t>
        </is>
      </c>
    </row>
    <row r="13">
      <c r="A13" s="4" t="inlineStr">
        <is>
          <t>Summary / Mean</t>
        </is>
      </c>
      <c r="B13" s="4" t="inlineStr">
        <is>
          <t>studio</t>
        </is>
      </c>
      <c r="C13" s="4" t="n">
        <v>8</v>
      </c>
      <c r="D13" s="4" t="inlineStr">
        <is>
          <t>—</t>
        </is>
      </c>
      <c r="E13" s="8">
        <f>ROUND(AVERAGE(E5:E12),1)</f>
        <v/>
      </c>
      <c r="F13" s="8">
        <f>ROUND(AVERAGE(F5:F12),1)</f>
        <v/>
      </c>
      <c r="G13" s="8">
        <f>ROUND(AVERAGE(G5:G12),1)</f>
        <v/>
      </c>
      <c r="H13" s="8">
        <f>ROUND(AVERAGE(H5:H12),1)</f>
        <v/>
      </c>
      <c r="I13" s="8">
        <f>ROUND(AVERAGE(I5:I12),1)</f>
        <v/>
      </c>
      <c r="J13" s="8">
        <f>ROUND(AVERAGE(J5:J12),1)</f>
        <v/>
      </c>
      <c r="K13" s="9">
        <f>COUNTIF(K5:K12,"Yes")&amp;" / "&amp;COUNT(C5:C12)</f>
        <v/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Stage 2 - onebr | Synthetic/Test Data</t>
        </is>
      </c>
    </row>
    <row r="2">
      <c r="A2" s="4" t="inlineStr">
        <is>
          <t>Note:</t>
        </is>
      </c>
      <c r="B2" t="inlineStr">
        <is>
          <t>Synthetic/test dataset for planning demo; not real measured outcomes.</t>
        </is>
      </c>
    </row>
    <row r="4">
      <c r="A4" s="5" t="inlineStr">
        <is>
          <t>Stage</t>
        </is>
      </c>
      <c r="B4" s="5" t="inlineStr">
        <is>
          <t>Type</t>
        </is>
      </c>
      <c r="C4" s="5" t="inlineStr">
        <is>
          <t>Run</t>
        </is>
      </c>
      <c r="D4" s="5" t="inlineStr">
        <is>
          <t>Seed</t>
        </is>
      </c>
      <c r="E4" s="5" t="inlineStr">
        <is>
          <t>FI</t>
        </is>
      </c>
      <c r="F4" s="5" t="inlineStr">
        <is>
          <t>CS</t>
        </is>
      </c>
      <c r="G4" s="5" t="inlineStr">
        <is>
          <t>UF</t>
        </is>
      </c>
      <c r="H4" s="5" t="inlineStr">
        <is>
          <t>OI</t>
        </is>
      </c>
      <c r="I4" s="5" t="inlineStr">
        <is>
          <t>ODP</t>
        </is>
      </c>
      <c r="J4" s="5" t="inlineStr">
        <is>
          <t>Runtime (s)</t>
        </is>
      </c>
      <c r="K4" s="5" t="inlineStr">
        <is>
          <t>Hard Pass</t>
        </is>
      </c>
    </row>
    <row r="5">
      <c r="A5" s="6" t="inlineStr">
        <is>
          <t>Stage 2</t>
        </is>
      </c>
      <c r="B5" s="6" t="inlineStr">
        <is>
          <t>onebr</t>
        </is>
      </c>
      <c r="C5" s="6" t="n">
        <v>1</v>
      </c>
      <c r="D5" s="6" t="n">
        <v>2100</v>
      </c>
      <c r="E5" s="7" t="n">
        <v>85.40000000000001</v>
      </c>
      <c r="F5" s="7" t="n">
        <v>82</v>
      </c>
      <c r="G5" s="7" t="n">
        <v>79.5</v>
      </c>
      <c r="H5" s="7" t="n">
        <v>83.7</v>
      </c>
      <c r="I5" s="7" t="n">
        <v>81.5</v>
      </c>
      <c r="J5" s="7" t="n">
        <v>100.6</v>
      </c>
      <c r="K5" s="6" t="inlineStr">
        <is>
          <t>No</t>
        </is>
      </c>
    </row>
    <row r="6">
      <c r="A6" s="6" t="inlineStr">
        <is>
          <t>Stage 2</t>
        </is>
      </c>
      <c r="B6" s="6" t="inlineStr">
        <is>
          <t>onebr</t>
        </is>
      </c>
      <c r="C6" s="6" t="n">
        <v>2</v>
      </c>
      <c r="D6" s="6" t="n">
        <v>2101</v>
      </c>
      <c r="E6" s="7" t="n">
        <v>86</v>
      </c>
      <c r="F6" s="7" t="n">
        <v>82.59999999999999</v>
      </c>
      <c r="G6" s="7" t="n">
        <v>80.09999999999999</v>
      </c>
      <c r="H6" s="7" t="n">
        <v>84.3</v>
      </c>
      <c r="I6" s="7" t="n">
        <v>82.09999999999999</v>
      </c>
      <c r="J6" s="7" t="n">
        <v>100.1</v>
      </c>
      <c r="K6" s="6" t="inlineStr">
        <is>
          <t>Yes</t>
        </is>
      </c>
    </row>
    <row r="7">
      <c r="A7" s="6" t="inlineStr">
        <is>
          <t>Stage 2</t>
        </is>
      </c>
      <c r="B7" s="6" t="inlineStr">
        <is>
          <t>onebr</t>
        </is>
      </c>
      <c r="C7" s="6" t="n">
        <v>3</v>
      </c>
      <c r="D7" s="6" t="n">
        <v>2102</v>
      </c>
      <c r="E7" s="7" t="n">
        <v>86.59999999999999</v>
      </c>
      <c r="F7" s="7" t="n">
        <v>83.2</v>
      </c>
      <c r="G7" s="7" t="n">
        <v>80.7</v>
      </c>
      <c r="H7" s="7" t="n">
        <v>84.90000000000001</v>
      </c>
      <c r="I7" s="7" t="n">
        <v>82.7</v>
      </c>
      <c r="J7" s="7" t="n">
        <v>99.7</v>
      </c>
      <c r="K7" s="6" t="inlineStr">
        <is>
          <t>Yes</t>
        </is>
      </c>
    </row>
    <row r="8">
      <c r="A8" s="6" t="inlineStr">
        <is>
          <t>Stage 2</t>
        </is>
      </c>
      <c r="B8" s="6" t="inlineStr">
        <is>
          <t>onebr</t>
        </is>
      </c>
      <c r="C8" s="6" t="n">
        <v>4</v>
      </c>
      <c r="D8" s="6" t="n">
        <v>2103</v>
      </c>
      <c r="E8" s="7" t="n">
        <v>87.2</v>
      </c>
      <c r="F8" s="7" t="n">
        <v>83.8</v>
      </c>
      <c r="G8" s="7" t="n">
        <v>81.3</v>
      </c>
      <c r="H8" s="7" t="n">
        <v>85.5</v>
      </c>
      <c r="I8" s="7" t="n">
        <v>83.3</v>
      </c>
      <c r="J8" s="7" t="n">
        <v>99.2</v>
      </c>
      <c r="K8" s="6" t="inlineStr">
        <is>
          <t>Yes</t>
        </is>
      </c>
    </row>
    <row r="9">
      <c r="A9" s="6" t="inlineStr">
        <is>
          <t>Stage 2</t>
        </is>
      </c>
      <c r="B9" s="6" t="inlineStr">
        <is>
          <t>onebr</t>
        </is>
      </c>
      <c r="C9" s="6" t="n">
        <v>5</v>
      </c>
      <c r="D9" s="6" t="n">
        <v>2104</v>
      </c>
      <c r="E9" s="7" t="n">
        <v>87.8</v>
      </c>
      <c r="F9" s="7" t="n">
        <v>84.40000000000001</v>
      </c>
      <c r="G9" s="7" t="n">
        <v>81.90000000000001</v>
      </c>
      <c r="H9" s="7" t="n">
        <v>86.09999999999999</v>
      </c>
      <c r="I9" s="7" t="n">
        <v>83.90000000000001</v>
      </c>
      <c r="J9" s="7" t="n">
        <v>98.8</v>
      </c>
      <c r="K9" s="6" t="inlineStr">
        <is>
          <t>Yes</t>
        </is>
      </c>
    </row>
    <row r="10">
      <c r="A10" s="6" t="inlineStr">
        <is>
          <t>Stage 2</t>
        </is>
      </c>
      <c r="B10" s="6" t="inlineStr">
        <is>
          <t>onebr</t>
        </is>
      </c>
      <c r="C10" s="6" t="n">
        <v>6</v>
      </c>
      <c r="D10" s="6" t="n">
        <v>2105</v>
      </c>
      <c r="E10" s="7" t="n">
        <v>88.40000000000001</v>
      </c>
      <c r="F10" s="7" t="n">
        <v>85</v>
      </c>
      <c r="G10" s="7" t="n">
        <v>82.5</v>
      </c>
      <c r="H10" s="7" t="n">
        <v>86.7</v>
      </c>
      <c r="I10" s="7" t="n">
        <v>84.5</v>
      </c>
      <c r="J10" s="7" t="n">
        <v>98.3</v>
      </c>
      <c r="K10" s="6" t="inlineStr">
        <is>
          <t>Yes</t>
        </is>
      </c>
    </row>
    <row r="11">
      <c r="A11" s="6" t="inlineStr">
        <is>
          <t>Stage 2</t>
        </is>
      </c>
      <c r="B11" s="6" t="inlineStr">
        <is>
          <t>onebr</t>
        </is>
      </c>
      <c r="C11" s="6" t="n">
        <v>7</v>
      </c>
      <c r="D11" s="6" t="n">
        <v>2106</v>
      </c>
      <c r="E11" s="7" t="n">
        <v>89</v>
      </c>
      <c r="F11" s="7" t="n">
        <v>85.59999999999999</v>
      </c>
      <c r="G11" s="7" t="n">
        <v>83.09999999999999</v>
      </c>
      <c r="H11" s="7" t="n">
        <v>87.3</v>
      </c>
      <c r="I11" s="7" t="n">
        <v>85.09999999999999</v>
      </c>
      <c r="J11" s="7" t="n">
        <v>97.90000000000001</v>
      </c>
      <c r="K11" s="6" t="inlineStr">
        <is>
          <t>Yes</t>
        </is>
      </c>
    </row>
    <row r="12">
      <c r="A12" s="6" t="inlineStr">
        <is>
          <t>Stage 2</t>
        </is>
      </c>
      <c r="B12" s="6" t="inlineStr">
        <is>
          <t>onebr</t>
        </is>
      </c>
      <c r="C12" s="6" t="n">
        <v>8</v>
      </c>
      <c r="D12" s="6" t="n">
        <v>2107</v>
      </c>
      <c r="E12" s="7" t="n">
        <v>89.59999999999999</v>
      </c>
      <c r="F12" s="7" t="n">
        <v>86.2</v>
      </c>
      <c r="G12" s="7" t="n">
        <v>83.7</v>
      </c>
      <c r="H12" s="7" t="n">
        <v>87.90000000000001</v>
      </c>
      <c r="I12" s="7" t="n">
        <v>85.7</v>
      </c>
      <c r="J12" s="7" t="n">
        <v>97.40000000000001</v>
      </c>
      <c r="K12" s="6" t="inlineStr">
        <is>
          <t>Yes</t>
        </is>
      </c>
    </row>
    <row r="13">
      <c r="A13" s="4" t="inlineStr">
        <is>
          <t>Summary / Mean</t>
        </is>
      </c>
      <c r="B13" s="4" t="inlineStr">
        <is>
          <t>onebr</t>
        </is>
      </c>
      <c r="C13" s="4" t="n">
        <v>8</v>
      </c>
      <c r="D13" s="4" t="inlineStr">
        <is>
          <t>—</t>
        </is>
      </c>
      <c r="E13" s="8">
        <f>ROUND(AVERAGE(E5:E12),1)</f>
        <v/>
      </c>
      <c r="F13" s="8">
        <f>ROUND(AVERAGE(F5:F12),1)</f>
        <v/>
      </c>
      <c r="G13" s="8">
        <f>ROUND(AVERAGE(G5:G12),1)</f>
        <v/>
      </c>
      <c r="H13" s="8">
        <f>ROUND(AVERAGE(H5:H12),1)</f>
        <v/>
      </c>
      <c r="I13" s="8">
        <f>ROUND(AVERAGE(I5:I12),1)</f>
        <v/>
      </c>
      <c r="J13" s="8">
        <f>ROUND(AVERAGE(J5:J12),1)</f>
        <v/>
      </c>
      <c r="K13" s="9">
        <f>COUNTIF(K5:K12,"Yes")&amp;" / "&amp;COUNT(C5:C12)</f>
        <v/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Stage 2 - twobr | Synthetic/Test Data</t>
        </is>
      </c>
    </row>
    <row r="2">
      <c r="A2" s="4" t="inlineStr">
        <is>
          <t>Note:</t>
        </is>
      </c>
      <c r="B2" t="inlineStr">
        <is>
          <t>Synthetic/test dataset for planning demo; not real measured outcomes.</t>
        </is>
      </c>
    </row>
    <row r="4">
      <c r="A4" s="5" t="inlineStr">
        <is>
          <t>Stage</t>
        </is>
      </c>
      <c r="B4" s="5" t="inlineStr">
        <is>
          <t>Type</t>
        </is>
      </c>
      <c r="C4" s="5" t="inlineStr">
        <is>
          <t>Run</t>
        </is>
      </c>
      <c r="D4" s="5" t="inlineStr">
        <is>
          <t>Seed</t>
        </is>
      </c>
      <c r="E4" s="5" t="inlineStr">
        <is>
          <t>FI</t>
        </is>
      </c>
      <c r="F4" s="5" t="inlineStr">
        <is>
          <t>CS</t>
        </is>
      </c>
      <c r="G4" s="5" t="inlineStr">
        <is>
          <t>UF</t>
        </is>
      </c>
      <c r="H4" s="5" t="inlineStr">
        <is>
          <t>OI</t>
        </is>
      </c>
      <c r="I4" s="5" t="inlineStr">
        <is>
          <t>ODP</t>
        </is>
      </c>
      <c r="J4" s="5" t="inlineStr">
        <is>
          <t>Runtime (s)</t>
        </is>
      </c>
      <c r="K4" s="5" t="inlineStr">
        <is>
          <t>Hard Pass</t>
        </is>
      </c>
    </row>
    <row r="5">
      <c r="A5" s="6" t="inlineStr">
        <is>
          <t>Stage 2</t>
        </is>
      </c>
      <c r="B5" s="6" t="inlineStr">
        <is>
          <t>twobr</t>
        </is>
      </c>
      <c r="C5" s="6" t="n">
        <v>1</v>
      </c>
      <c r="D5" s="6" t="n">
        <v>2200</v>
      </c>
      <c r="E5" s="7" t="n">
        <v>84.2</v>
      </c>
      <c r="F5" s="7" t="n">
        <v>81.09999999999999</v>
      </c>
      <c r="G5" s="7" t="n">
        <v>78.8</v>
      </c>
      <c r="H5" s="7" t="n">
        <v>82.7</v>
      </c>
      <c r="I5" s="7" t="n">
        <v>80.7</v>
      </c>
      <c r="J5" s="7" t="n">
        <v>123.4</v>
      </c>
      <c r="K5" s="6" t="inlineStr">
        <is>
          <t>No</t>
        </is>
      </c>
    </row>
    <row r="6">
      <c r="A6" s="6" t="inlineStr">
        <is>
          <t>Stage 2</t>
        </is>
      </c>
      <c r="B6" s="6" t="inlineStr">
        <is>
          <t>twobr</t>
        </is>
      </c>
      <c r="C6" s="6" t="n">
        <v>2</v>
      </c>
      <c r="D6" s="6" t="n">
        <v>2201</v>
      </c>
      <c r="E6" s="7" t="n">
        <v>84.8</v>
      </c>
      <c r="F6" s="7" t="n">
        <v>81.7</v>
      </c>
      <c r="G6" s="7" t="n">
        <v>79.40000000000001</v>
      </c>
      <c r="H6" s="7" t="n">
        <v>83.3</v>
      </c>
      <c r="I6" s="7" t="n">
        <v>81.3</v>
      </c>
      <c r="J6" s="7" t="n">
        <v>122.9</v>
      </c>
      <c r="K6" s="6" t="inlineStr">
        <is>
          <t>No</t>
        </is>
      </c>
    </row>
    <row r="7">
      <c r="A7" s="6" t="inlineStr">
        <is>
          <t>Stage 2</t>
        </is>
      </c>
      <c r="B7" s="6" t="inlineStr">
        <is>
          <t>twobr</t>
        </is>
      </c>
      <c r="C7" s="6" t="n">
        <v>3</v>
      </c>
      <c r="D7" s="6" t="n">
        <v>2202</v>
      </c>
      <c r="E7" s="7" t="n">
        <v>85.40000000000001</v>
      </c>
      <c r="F7" s="7" t="n">
        <v>82.3</v>
      </c>
      <c r="G7" s="7" t="n">
        <v>80</v>
      </c>
      <c r="H7" s="7" t="n">
        <v>83.90000000000001</v>
      </c>
      <c r="I7" s="7" t="n">
        <v>81.90000000000001</v>
      </c>
      <c r="J7" s="7" t="n">
        <v>122.3</v>
      </c>
      <c r="K7" s="6" t="inlineStr">
        <is>
          <t>Yes</t>
        </is>
      </c>
    </row>
    <row r="8">
      <c r="A8" s="6" t="inlineStr">
        <is>
          <t>Stage 2</t>
        </is>
      </c>
      <c r="B8" s="6" t="inlineStr">
        <is>
          <t>twobr</t>
        </is>
      </c>
      <c r="C8" s="6" t="n">
        <v>4</v>
      </c>
      <c r="D8" s="6" t="n">
        <v>2203</v>
      </c>
      <c r="E8" s="7" t="n">
        <v>86</v>
      </c>
      <c r="F8" s="7" t="n">
        <v>82.90000000000001</v>
      </c>
      <c r="G8" s="7" t="n">
        <v>80.59999999999999</v>
      </c>
      <c r="H8" s="7" t="n">
        <v>84.5</v>
      </c>
      <c r="I8" s="7" t="n">
        <v>82.5</v>
      </c>
      <c r="J8" s="7" t="n">
        <v>121.8</v>
      </c>
      <c r="K8" s="6" t="inlineStr">
        <is>
          <t>Yes</t>
        </is>
      </c>
    </row>
    <row r="9">
      <c r="A9" s="6" t="inlineStr">
        <is>
          <t>Stage 2</t>
        </is>
      </c>
      <c r="B9" s="6" t="inlineStr">
        <is>
          <t>twobr</t>
        </is>
      </c>
      <c r="C9" s="6" t="n">
        <v>5</v>
      </c>
      <c r="D9" s="6" t="n">
        <v>2204</v>
      </c>
      <c r="E9" s="7" t="n">
        <v>86.59999999999999</v>
      </c>
      <c r="F9" s="7" t="n">
        <v>83.5</v>
      </c>
      <c r="G9" s="7" t="n">
        <v>81.2</v>
      </c>
      <c r="H9" s="7" t="n">
        <v>85.09999999999999</v>
      </c>
      <c r="I9" s="7" t="n">
        <v>83.09999999999999</v>
      </c>
      <c r="J9" s="7" t="n">
        <v>121.2</v>
      </c>
      <c r="K9" s="6" t="inlineStr">
        <is>
          <t>Yes</t>
        </is>
      </c>
    </row>
    <row r="10">
      <c r="A10" s="6" t="inlineStr">
        <is>
          <t>Stage 2</t>
        </is>
      </c>
      <c r="B10" s="6" t="inlineStr">
        <is>
          <t>twobr</t>
        </is>
      </c>
      <c r="C10" s="6" t="n">
        <v>6</v>
      </c>
      <c r="D10" s="6" t="n">
        <v>2205</v>
      </c>
      <c r="E10" s="7" t="n">
        <v>87.2</v>
      </c>
      <c r="F10" s="7" t="n">
        <v>84.09999999999999</v>
      </c>
      <c r="G10" s="7" t="n">
        <v>81.8</v>
      </c>
      <c r="H10" s="7" t="n">
        <v>85.7</v>
      </c>
      <c r="I10" s="7" t="n">
        <v>83.7</v>
      </c>
      <c r="J10" s="7" t="n">
        <v>120.7</v>
      </c>
      <c r="K10" s="6" t="inlineStr">
        <is>
          <t>Yes</t>
        </is>
      </c>
    </row>
    <row r="11">
      <c r="A11" s="6" t="inlineStr">
        <is>
          <t>Stage 2</t>
        </is>
      </c>
      <c r="B11" s="6" t="inlineStr">
        <is>
          <t>twobr</t>
        </is>
      </c>
      <c r="C11" s="6" t="n">
        <v>7</v>
      </c>
      <c r="D11" s="6" t="n">
        <v>2206</v>
      </c>
      <c r="E11" s="7" t="n">
        <v>87.8</v>
      </c>
      <c r="F11" s="7" t="n">
        <v>84.7</v>
      </c>
      <c r="G11" s="7" t="n">
        <v>82.40000000000001</v>
      </c>
      <c r="H11" s="7" t="n">
        <v>86.3</v>
      </c>
      <c r="I11" s="7" t="n">
        <v>84.3</v>
      </c>
      <c r="J11" s="7" t="n">
        <v>120.1</v>
      </c>
      <c r="K11" s="6" t="inlineStr">
        <is>
          <t>Yes</t>
        </is>
      </c>
    </row>
    <row r="12">
      <c r="A12" s="6" t="inlineStr">
        <is>
          <t>Stage 2</t>
        </is>
      </c>
      <c r="B12" s="6" t="inlineStr">
        <is>
          <t>twobr</t>
        </is>
      </c>
      <c r="C12" s="6" t="n">
        <v>8</v>
      </c>
      <c r="D12" s="6" t="n">
        <v>2207</v>
      </c>
      <c r="E12" s="7" t="n">
        <v>88.40000000000001</v>
      </c>
      <c r="F12" s="7" t="n">
        <v>85.3</v>
      </c>
      <c r="G12" s="7" t="n">
        <v>83</v>
      </c>
      <c r="H12" s="7" t="n">
        <v>86.90000000000001</v>
      </c>
      <c r="I12" s="7" t="n">
        <v>84.90000000000001</v>
      </c>
      <c r="J12" s="7" t="n">
        <v>119.6</v>
      </c>
      <c r="K12" s="6" t="inlineStr">
        <is>
          <t>Yes</t>
        </is>
      </c>
    </row>
    <row r="13">
      <c r="A13" s="4" t="inlineStr">
        <is>
          <t>Summary / Mean</t>
        </is>
      </c>
      <c r="B13" s="4" t="inlineStr">
        <is>
          <t>twobr</t>
        </is>
      </c>
      <c r="C13" s="4" t="n">
        <v>8</v>
      </c>
      <c r="D13" s="4" t="inlineStr">
        <is>
          <t>—</t>
        </is>
      </c>
      <c r="E13" s="8">
        <f>ROUND(AVERAGE(E5:E12),1)</f>
        <v/>
      </c>
      <c r="F13" s="8">
        <f>ROUND(AVERAGE(F5:F12),1)</f>
        <v/>
      </c>
      <c r="G13" s="8">
        <f>ROUND(AVERAGE(G5:G12),1)</f>
        <v/>
      </c>
      <c r="H13" s="8">
        <f>ROUND(AVERAGE(H5:H12),1)</f>
        <v/>
      </c>
      <c r="I13" s="8">
        <f>ROUND(AVERAGE(I5:I12),1)</f>
        <v/>
      </c>
      <c r="J13" s="8">
        <f>ROUND(AVERAGE(J5:J12),1)</f>
        <v/>
      </c>
      <c r="K13" s="9">
        <f>COUNTIF(K5:K12,"Yes")&amp;" / "&amp;COUNT(C5:C12)</f>
        <v/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Stage 3 - studio | Synthetic/Test Data</t>
        </is>
      </c>
    </row>
    <row r="2">
      <c r="A2" s="4" t="inlineStr">
        <is>
          <t>Note:</t>
        </is>
      </c>
      <c r="B2" t="inlineStr">
        <is>
          <t>Synthetic/test dataset for planning demo; not real measured outcomes.</t>
        </is>
      </c>
    </row>
    <row r="4">
      <c r="A4" s="5" t="inlineStr">
        <is>
          <t>Stage</t>
        </is>
      </c>
      <c r="B4" s="5" t="inlineStr">
        <is>
          <t>Type</t>
        </is>
      </c>
      <c r="C4" s="5" t="inlineStr">
        <is>
          <t>Run</t>
        </is>
      </c>
      <c r="D4" s="5" t="inlineStr">
        <is>
          <t>Seed</t>
        </is>
      </c>
      <c r="E4" s="5" t="inlineStr">
        <is>
          <t>FI</t>
        </is>
      </c>
      <c r="F4" s="5" t="inlineStr">
        <is>
          <t>CS</t>
        </is>
      </c>
      <c r="G4" s="5" t="inlineStr">
        <is>
          <t>UF</t>
        </is>
      </c>
      <c r="H4" s="5" t="inlineStr">
        <is>
          <t>OI</t>
        </is>
      </c>
      <c r="I4" s="5" t="inlineStr">
        <is>
          <t>ODP</t>
        </is>
      </c>
      <c r="J4" s="5" t="inlineStr">
        <is>
          <t>Runtime (s)</t>
        </is>
      </c>
      <c r="K4" s="5" t="inlineStr">
        <is>
          <t>Hard Pass</t>
        </is>
      </c>
    </row>
    <row r="5">
      <c r="A5" s="6" t="inlineStr">
        <is>
          <t>Stage 3</t>
        </is>
      </c>
      <c r="B5" s="6" t="inlineStr">
        <is>
          <t>studio</t>
        </is>
      </c>
      <c r="C5" s="6" t="n">
        <v>1</v>
      </c>
      <c r="D5" s="6" t="n">
        <v>3000</v>
      </c>
      <c r="E5" s="7" t="n">
        <v>90.40000000000001</v>
      </c>
      <c r="F5" s="7" t="n">
        <v>88</v>
      </c>
      <c r="G5" s="7" t="n">
        <v>86.7</v>
      </c>
      <c r="H5" s="7" t="n">
        <v>89</v>
      </c>
      <c r="I5" s="7" t="n">
        <v>88.2</v>
      </c>
      <c r="J5" s="7" t="n">
        <v>54.8</v>
      </c>
      <c r="K5" s="6" t="inlineStr">
        <is>
          <t>No</t>
        </is>
      </c>
    </row>
    <row r="6">
      <c r="A6" s="6" t="inlineStr">
        <is>
          <t>Stage 3</t>
        </is>
      </c>
      <c r="B6" s="6" t="inlineStr">
        <is>
          <t>studio</t>
        </is>
      </c>
      <c r="C6" s="6" t="n">
        <v>2</v>
      </c>
      <c r="D6" s="6" t="n">
        <v>3001</v>
      </c>
      <c r="E6" s="7" t="n">
        <v>90.90000000000001</v>
      </c>
      <c r="F6" s="7" t="n">
        <v>88.40000000000001</v>
      </c>
      <c r="G6" s="7" t="n">
        <v>87.09999999999999</v>
      </c>
      <c r="H6" s="7" t="n">
        <v>89.40000000000001</v>
      </c>
      <c r="I6" s="7" t="n">
        <v>88.59999999999999</v>
      </c>
      <c r="J6" s="7" t="n">
        <v>54.3</v>
      </c>
      <c r="K6" s="6" t="inlineStr">
        <is>
          <t>Yes</t>
        </is>
      </c>
    </row>
    <row r="7">
      <c r="A7" s="6" t="inlineStr">
        <is>
          <t>Stage 3</t>
        </is>
      </c>
      <c r="B7" s="6" t="inlineStr">
        <is>
          <t>studio</t>
        </is>
      </c>
      <c r="C7" s="6" t="n">
        <v>3</v>
      </c>
      <c r="D7" s="6" t="n">
        <v>3002</v>
      </c>
      <c r="E7" s="7" t="n">
        <v>91.40000000000001</v>
      </c>
      <c r="F7" s="7" t="n">
        <v>88.8</v>
      </c>
      <c r="G7" s="7" t="n">
        <v>87.5</v>
      </c>
      <c r="H7" s="7" t="n">
        <v>89.8</v>
      </c>
      <c r="I7" s="7" t="n">
        <v>89</v>
      </c>
      <c r="J7" s="7" t="n">
        <v>53.9</v>
      </c>
      <c r="K7" s="6" t="inlineStr">
        <is>
          <t>Yes</t>
        </is>
      </c>
    </row>
    <row r="8">
      <c r="A8" s="6" t="inlineStr">
        <is>
          <t>Stage 3</t>
        </is>
      </c>
      <c r="B8" s="6" t="inlineStr">
        <is>
          <t>studio</t>
        </is>
      </c>
      <c r="C8" s="6" t="n">
        <v>4</v>
      </c>
      <c r="D8" s="6" t="n">
        <v>3003</v>
      </c>
      <c r="E8" s="7" t="n">
        <v>91.90000000000001</v>
      </c>
      <c r="F8" s="7" t="n">
        <v>89.2</v>
      </c>
      <c r="G8" s="7" t="n">
        <v>87.90000000000001</v>
      </c>
      <c r="H8" s="7" t="n">
        <v>90.2</v>
      </c>
      <c r="I8" s="7" t="n">
        <v>89.40000000000001</v>
      </c>
      <c r="J8" s="7" t="n">
        <v>53.5</v>
      </c>
      <c r="K8" s="6" t="inlineStr">
        <is>
          <t>Yes</t>
        </is>
      </c>
    </row>
    <row r="9">
      <c r="A9" s="6" t="inlineStr">
        <is>
          <t>Stage 3</t>
        </is>
      </c>
      <c r="B9" s="6" t="inlineStr">
        <is>
          <t>studio</t>
        </is>
      </c>
      <c r="C9" s="6" t="n">
        <v>5</v>
      </c>
      <c r="D9" s="6" t="n">
        <v>3004</v>
      </c>
      <c r="E9" s="7" t="n">
        <v>92.40000000000001</v>
      </c>
      <c r="F9" s="7" t="n">
        <v>89.59999999999999</v>
      </c>
      <c r="G9" s="7" t="n">
        <v>88.3</v>
      </c>
      <c r="H9" s="7" t="n">
        <v>90.59999999999999</v>
      </c>
      <c r="I9" s="7" t="n">
        <v>89.8</v>
      </c>
      <c r="J9" s="7" t="n">
        <v>53.1</v>
      </c>
      <c r="K9" s="6" t="inlineStr">
        <is>
          <t>Yes</t>
        </is>
      </c>
    </row>
    <row r="10">
      <c r="A10" s="6" t="inlineStr">
        <is>
          <t>Stage 3</t>
        </is>
      </c>
      <c r="B10" s="6" t="inlineStr">
        <is>
          <t>studio</t>
        </is>
      </c>
      <c r="C10" s="6" t="n">
        <v>6</v>
      </c>
      <c r="D10" s="6" t="n">
        <v>3005</v>
      </c>
      <c r="E10" s="7" t="n">
        <v>92.90000000000001</v>
      </c>
      <c r="F10" s="7" t="n">
        <v>90</v>
      </c>
      <c r="G10" s="7" t="n">
        <v>88.7</v>
      </c>
      <c r="H10" s="7" t="n">
        <v>91</v>
      </c>
      <c r="I10" s="7" t="n">
        <v>90.2</v>
      </c>
      <c r="J10" s="7" t="n">
        <v>52.7</v>
      </c>
      <c r="K10" s="6" t="inlineStr">
        <is>
          <t>Yes</t>
        </is>
      </c>
    </row>
    <row r="11">
      <c r="A11" s="6" t="inlineStr">
        <is>
          <t>Stage 3</t>
        </is>
      </c>
      <c r="B11" s="6" t="inlineStr">
        <is>
          <t>studio</t>
        </is>
      </c>
      <c r="C11" s="6" t="n">
        <v>7</v>
      </c>
      <c r="D11" s="6" t="n">
        <v>3006</v>
      </c>
      <c r="E11" s="7" t="n">
        <v>93.40000000000001</v>
      </c>
      <c r="F11" s="7" t="n">
        <v>90.40000000000001</v>
      </c>
      <c r="G11" s="7" t="n">
        <v>89.09999999999999</v>
      </c>
      <c r="H11" s="7" t="n">
        <v>91.40000000000001</v>
      </c>
      <c r="I11" s="7" t="n">
        <v>90.59999999999999</v>
      </c>
      <c r="J11" s="7" t="n">
        <v>52.3</v>
      </c>
      <c r="K11" s="6" t="inlineStr">
        <is>
          <t>Yes</t>
        </is>
      </c>
    </row>
    <row r="12">
      <c r="A12" s="6" t="inlineStr">
        <is>
          <t>Stage 3</t>
        </is>
      </c>
      <c r="B12" s="6" t="inlineStr">
        <is>
          <t>studio</t>
        </is>
      </c>
      <c r="C12" s="6" t="n">
        <v>8</v>
      </c>
      <c r="D12" s="6" t="n">
        <v>3007</v>
      </c>
      <c r="E12" s="7" t="n">
        <v>93.90000000000001</v>
      </c>
      <c r="F12" s="7" t="n">
        <v>90.8</v>
      </c>
      <c r="G12" s="7" t="n">
        <v>89.5</v>
      </c>
      <c r="H12" s="7" t="n">
        <v>91.8</v>
      </c>
      <c r="I12" s="7" t="n">
        <v>91</v>
      </c>
      <c r="J12" s="7" t="n">
        <v>51.9</v>
      </c>
      <c r="K12" s="6" t="inlineStr">
        <is>
          <t>Yes</t>
        </is>
      </c>
    </row>
    <row r="13">
      <c r="A13" s="4" t="inlineStr">
        <is>
          <t>Summary / Mean</t>
        </is>
      </c>
      <c r="B13" s="4" t="inlineStr">
        <is>
          <t>studio</t>
        </is>
      </c>
      <c r="C13" s="4" t="n">
        <v>8</v>
      </c>
      <c r="D13" s="4" t="inlineStr">
        <is>
          <t>—</t>
        </is>
      </c>
      <c r="E13" s="8">
        <f>ROUND(AVERAGE(E5:E12),1)</f>
        <v/>
      </c>
      <c r="F13" s="8">
        <f>ROUND(AVERAGE(F5:F12),1)</f>
        <v/>
      </c>
      <c r="G13" s="8">
        <f>ROUND(AVERAGE(G5:G12),1)</f>
        <v/>
      </c>
      <c r="H13" s="8">
        <f>ROUND(AVERAGE(H5:H12),1)</f>
        <v/>
      </c>
      <c r="I13" s="8">
        <f>ROUND(AVERAGE(I5:I12),1)</f>
        <v/>
      </c>
      <c r="J13" s="8">
        <f>ROUND(AVERAGE(J5:J12),1)</f>
        <v/>
      </c>
      <c r="K13" s="9">
        <f>COUNTIF(K5:K12,"Yes")&amp;" / "&amp;COUNT(C5:C12)</f>
        <v/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Stage 3 - onebr | Synthetic/Test Data</t>
        </is>
      </c>
    </row>
    <row r="2">
      <c r="A2" s="4" t="inlineStr">
        <is>
          <t>Note:</t>
        </is>
      </c>
      <c r="B2" t="inlineStr">
        <is>
          <t>Synthetic/test dataset for planning demo; not real measured outcomes.</t>
        </is>
      </c>
    </row>
    <row r="4">
      <c r="A4" s="5" t="inlineStr">
        <is>
          <t>Stage</t>
        </is>
      </c>
      <c r="B4" s="5" t="inlineStr">
        <is>
          <t>Type</t>
        </is>
      </c>
      <c r="C4" s="5" t="inlineStr">
        <is>
          <t>Run</t>
        </is>
      </c>
      <c r="D4" s="5" t="inlineStr">
        <is>
          <t>Seed</t>
        </is>
      </c>
      <c r="E4" s="5" t="inlineStr">
        <is>
          <t>FI</t>
        </is>
      </c>
      <c r="F4" s="5" t="inlineStr">
        <is>
          <t>CS</t>
        </is>
      </c>
      <c r="G4" s="5" t="inlineStr">
        <is>
          <t>UF</t>
        </is>
      </c>
      <c r="H4" s="5" t="inlineStr">
        <is>
          <t>OI</t>
        </is>
      </c>
      <c r="I4" s="5" t="inlineStr">
        <is>
          <t>ODP</t>
        </is>
      </c>
      <c r="J4" s="5" t="inlineStr">
        <is>
          <t>Runtime (s)</t>
        </is>
      </c>
      <c r="K4" s="5" t="inlineStr">
        <is>
          <t>Hard Pass</t>
        </is>
      </c>
    </row>
    <row r="5">
      <c r="A5" s="6" t="inlineStr">
        <is>
          <t>Stage 3</t>
        </is>
      </c>
      <c r="B5" s="6" t="inlineStr">
        <is>
          <t>onebr</t>
        </is>
      </c>
      <c r="C5" s="6" t="n">
        <v>1</v>
      </c>
      <c r="D5" s="6" t="n">
        <v>3100</v>
      </c>
      <c r="E5" s="7" t="n">
        <v>92.09999999999999</v>
      </c>
      <c r="F5" s="7" t="n">
        <v>90</v>
      </c>
      <c r="G5" s="7" t="n">
        <v>88.40000000000001</v>
      </c>
      <c r="H5" s="7" t="n">
        <v>91.3</v>
      </c>
      <c r="I5" s="7" t="n">
        <v>89.7</v>
      </c>
      <c r="J5" s="7" t="n">
        <v>95.8</v>
      </c>
      <c r="K5" s="6" t="inlineStr">
        <is>
          <t>Yes</t>
        </is>
      </c>
    </row>
    <row r="6">
      <c r="A6" s="6" t="inlineStr">
        <is>
          <t>Stage 3</t>
        </is>
      </c>
      <c r="B6" s="6" t="inlineStr">
        <is>
          <t>onebr</t>
        </is>
      </c>
      <c r="C6" s="6" t="n">
        <v>2</v>
      </c>
      <c r="D6" s="6" t="n">
        <v>3101</v>
      </c>
      <c r="E6" s="7" t="n">
        <v>92.59999999999999</v>
      </c>
      <c r="F6" s="7" t="n">
        <v>90.40000000000001</v>
      </c>
      <c r="G6" s="7" t="n">
        <v>88.8</v>
      </c>
      <c r="H6" s="7" t="n">
        <v>91.7</v>
      </c>
      <c r="I6" s="7" t="n">
        <v>90.09999999999999</v>
      </c>
      <c r="J6" s="7" t="n">
        <v>95.3</v>
      </c>
      <c r="K6" s="6" t="inlineStr">
        <is>
          <t>Yes</t>
        </is>
      </c>
    </row>
    <row r="7">
      <c r="A7" s="6" t="inlineStr">
        <is>
          <t>Stage 3</t>
        </is>
      </c>
      <c r="B7" s="6" t="inlineStr">
        <is>
          <t>onebr</t>
        </is>
      </c>
      <c r="C7" s="6" t="n">
        <v>3</v>
      </c>
      <c r="D7" s="6" t="n">
        <v>3102</v>
      </c>
      <c r="E7" s="7" t="n">
        <v>93.09999999999999</v>
      </c>
      <c r="F7" s="7" t="n">
        <v>90.8</v>
      </c>
      <c r="G7" s="7" t="n">
        <v>89.2</v>
      </c>
      <c r="H7" s="7" t="n">
        <v>92.09999999999999</v>
      </c>
      <c r="I7" s="7" t="n">
        <v>90.5</v>
      </c>
      <c r="J7" s="7" t="n">
        <v>94.8</v>
      </c>
      <c r="K7" s="6" t="inlineStr">
        <is>
          <t>Yes</t>
        </is>
      </c>
    </row>
    <row r="8">
      <c r="A8" s="6" t="inlineStr">
        <is>
          <t>Stage 3</t>
        </is>
      </c>
      <c r="B8" s="6" t="inlineStr">
        <is>
          <t>onebr</t>
        </is>
      </c>
      <c r="C8" s="6" t="n">
        <v>4</v>
      </c>
      <c r="D8" s="6" t="n">
        <v>3103</v>
      </c>
      <c r="E8" s="7" t="n">
        <v>93.59999999999999</v>
      </c>
      <c r="F8" s="7" t="n">
        <v>91.2</v>
      </c>
      <c r="G8" s="7" t="n">
        <v>89.59999999999999</v>
      </c>
      <c r="H8" s="7" t="n">
        <v>92.5</v>
      </c>
      <c r="I8" s="7" t="n">
        <v>90.90000000000001</v>
      </c>
      <c r="J8" s="7" t="n">
        <v>94.3</v>
      </c>
      <c r="K8" s="6" t="inlineStr">
        <is>
          <t>Yes</t>
        </is>
      </c>
    </row>
    <row r="9">
      <c r="A9" s="6" t="inlineStr">
        <is>
          <t>Stage 3</t>
        </is>
      </c>
      <c r="B9" s="6" t="inlineStr">
        <is>
          <t>onebr</t>
        </is>
      </c>
      <c r="C9" s="6" t="n">
        <v>5</v>
      </c>
      <c r="D9" s="6" t="n">
        <v>3104</v>
      </c>
      <c r="E9" s="7" t="n">
        <v>94.09999999999999</v>
      </c>
      <c r="F9" s="7" t="n">
        <v>91.59999999999999</v>
      </c>
      <c r="G9" s="7" t="n">
        <v>90</v>
      </c>
      <c r="H9" s="7" t="n">
        <v>92.90000000000001</v>
      </c>
      <c r="I9" s="7" t="n">
        <v>91.3</v>
      </c>
      <c r="J9" s="7" t="n">
        <v>93.8</v>
      </c>
      <c r="K9" s="6" t="inlineStr">
        <is>
          <t>Yes</t>
        </is>
      </c>
    </row>
    <row r="10">
      <c r="A10" s="6" t="inlineStr">
        <is>
          <t>Stage 3</t>
        </is>
      </c>
      <c r="B10" s="6" t="inlineStr">
        <is>
          <t>onebr</t>
        </is>
      </c>
      <c r="C10" s="6" t="n">
        <v>6</v>
      </c>
      <c r="D10" s="6" t="n">
        <v>3105</v>
      </c>
      <c r="E10" s="7" t="n">
        <v>94.59999999999999</v>
      </c>
      <c r="F10" s="7" t="n">
        <v>92</v>
      </c>
      <c r="G10" s="7" t="n">
        <v>90.40000000000001</v>
      </c>
      <c r="H10" s="7" t="n">
        <v>93.3</v>
      </c>
      <c r="I10" s="7" t="n">
        <v>91.7</v>
      </c>
      <c r="J10" s="7" t="n">
        <v>93.3</v>
      </c>
      <c r="K10" s="6" t="inlineStr">
        <is>
          <t>Yes</t>
        </is>
      </c>
    </row>
    <row r="11">
      <c r="A11" s="6" t="inlineStr">
        <is>
          <t>Stage 3</t>
        </is>
      </c>
      <c r="B11" s="6" t="inlineStr">
        <is>
          <t>onebr</t>
        </is>
      </c>
      <c r="C11" s="6" t="n">
        <v>7</v>
      </c>
      <c r="D11" s="6" t="n">
        <v>3106</v>
      </c>
      <c r="E11" s="7" t="n">
        <v>95.09999999999999</v>
      </c>
      <c r="F11" s="7" t="n">
        <v>92.40000000000001</v>
      </c>
      <c r="G11" s="7" t="n">
        <v>90.8</v>
      </c>
      <c r="H11" s="7" t="n">
        <v>93.7</v>
      </c>
      <c r="I11" s="7" t="n">
        <v>92.09999999999999</v>
      </c>
      <c r="J11" s="7" t="n">
        <v>92.8</v>
      </c>
      <c r="K11" s="6" t="inlineStr">
        <is>
          <t>Yes</t>
        </is>
      </c>
    </row>
    <row r="12">
      <c r="A12" s="6" t="inlineStr">
        <is>
          <t>Stage 3</t>
        </is>
      </c>
      <c r="B12" s="6" t="inlineStr">
        <is>
          <t>onebr</t>
        </is>
      </c>
      <c r="C12" s="6" t="n">
        <v>8</v>
      </c>
      <c r="D12" s="6" t="n">
        <v>3107</v>
      </c>
      <c r="E12" s="7" t="n">
        <v>95.59999999999999</v>
      </c>
      <c r="F12" s="7" t="n">
        <v>92.8</v>
      </c>
      <c r="G12" s="7" t="n">
        <v>91.2</v>
      </c>
      <c r="H12" s="7" t="n">
        <v>94.09999999999999</v>
      </c>
      <c r="I12" s="7" t="n">
        <v>92.5</v>
      </c>
      <c r="J12" s="7" t="n">
        <v>92.3</v>
      </c>
      <c r="K12" s="6" t="inlineStr">
        <is>
          <t>Yes</t>
        </is>
      </c>
    </row>
    <row r="13">
      <c r="A13" s="4" t="inlineStr">
        <is>
          <t>Summary / Mean</t>
        </is>
      </c>
      <c r="B13" s="4" t="inlineStr">
        <is>
          <t>onebr</t>
        </is>
      </c>
      <c r="C13" s="4" t="n">
        <v>8</v>
      </c>
      <c r="D13" s="4" t="inlineStr">
        <is>
          <t>—</t>
        </is>
      </c>
      <c r="E13" s="8">
        <f>ROUND(AVERAGE(E5:E12),1)</f>
        <v/>
      </c>
      <c r="F13" s="8">
        <f>ROUND(AVERAGE(F5:F12),1)</f>
        <v/>
      </c>
      <c r="G13" s="8">
        <f>ROUND(AVERAGE(G5:G12),1)</f>
        <v/>
      </c>
      <c r="H13" s="8">
        <f>ROUND(AVERAGE(H5:H12),1)</f>
        <v/>
      </c>
      <c r="I13" s="8">
        <f>ROUND(AVERAGE(I5:I12),1)</f>
        <v/>
      </c>
      <c r="J13" s="8">
        <f>ROUND(AVERAGE(J5:J12),1)</f>
        <v/>
      </c>
      <c r="K13" s="9">
        <f>COUNTIF(K5:K12,"Yes")&amp;" / "&amp;COUNT(C5:C12)</f>
        <v/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Stage 3 - twobr | Synthetic/Test Data</t>
        </is>
      </c>
    </row>
    <row r="2">
      <c r="A2" s="4" t="inlineStr">
        <is>
          <t>Note:</t>
        </is>
      </c>
      <c r="B2" t="inlineStr">
        <is>
          <t>Synthetic/test dataset for planning demo; not real measured outcomes.</t>
        </is>
      </c>
    </row>
    <row r="4">
      <c r="A4" s="5" t="inlineStr">
        <is>
          <t>Stage</t>
        </is>
      </c>
      <c r="B4" s="5" t="inlineStr">
        <is>
          <t>Type</t>
        </is>
      </c>
      <c r="C4" s="5" t="inlineStr">
        <is>
          <t>Run</t>
        </is>
      </c>
      <c r="D4" s="5" t="inlineStr">
        <is>
          <t>Seed</t>
        </is>
      </c>
      <c r="E4" s="5" t="inlineStr">
        <is>
          <t>FI</t>
        </is>
      </c>
      <c r="F4" s="5" t="inlineStr">
        <is>
          <t>CS</t>
        </is>
      </c>
      <c r="G4" s="5" t="inlineStr">
        <is>
          <t>UF</t>
        </is>
      </c>
      <c r="H4" s="5" t="inlineStr">
        <is>
          <t>OI</t>
        </is>
      </c>
      <c r="I4" s="5" t="inlineStr">
        <is>
          <t>ODP</t>
        </is>
      </c>
      <c r="J4" s="5" t="inlineStr">
        <is>
          <t>Runtime (s)</t>
        </is>
      </c>
      <c r="K4" s="5" t="inlineStr">
        <is>
          <t>Hard Pass</t>
        </is>
      </c>
    </row>
    <row r="5">
      <c r="A5" s="6" t="inlineStr">
        <is>
          <t>Stage 3</t>
        </is>
      </c>
      <c r="B5" s="6" t="inlineStr">
        <is>
          <t>twobr</t>
        </is>
      </c>
      <c r="C5" s="6" t="n">
        <v>1</v>
      </c>
      <c r="D5" s="6" t="n">
        <v>3200</v>
      </c>
      <c r="E5" s="7" t="n">
        <v>91</v>
      </c>
      <c r="F5" s="7" t="n">
        <v>89.09999999999999</v>
      </c>
      <c r="G5" s="7" t="n">
        <v>87.90000000000001</v>
      </c>
      <c r="H5" s="7" t="n">
        <v>90.2</v>
      </c>
      <c r="I5" s="7" t="n">
        <v>89.09999999999999</v>
      </c>
      <c r="J5" s="7" t="n">
        <v>117.8</v>
      </c>
      <c r="K5" s="6" t="inlineStr">
        <is>
          <t>Yes</t>
        </is>
      </c>
    </row>
    <row r="6">
      <c r="A6" s="6" t="inlineStr">
        <is>
          <t>Stage 3</t>
        </is>
      </c>
      <c r="B6" s="6" t="inlineStr">
        <is>
          <t>twobr</t>
        </is>
      </c>
      <c r="C6" s="6" t="n">
        <v>2</v>
      </c>
      <c r="D6" s="6" t="n">
        <v>3201</v>
      </c>
      <c r="E6" s="7" t="n">
        <v>91.5</v>
      </c>
      <c r="F6" s="7" t="n">
        <v>89.5</v>
      </c>
      <c r="G6" s="7" t="n">
        <v>88.3</v>
      </c>
      <c r="H6" s="7" t="n">
        <v>90.59999999999999</v>
      </c>
      <c r="I6" s="7" t="n">
        <v>89.5</v>
      </c>
      <c r="J6" s="7" t="n">
        <v>117.2</v>
      </c>
      <c r="K6" s="6" t="inlineStr">
        <is>
          <t>Yes</t>
        </is>
      </c>
    </row>
    <row r="7">
      <c r="A7" s="6" t="inlineStr">
        <is>
          <t>Stage 3</t>
        </is>
      </c>
      <c r="B7" s="6" t="inlineStr">
        <is>
          <t>twobr</t>
        </is>
      </c>
      <c r="C7" s="6" t="n">
        <v>3</v>
      </c>
      <c r="D7" s="6" t="n">
        <v>3202</v>
      </c>
      <c r="E7" s="7" t="n">
        <v>92</v>
      </c>
      <c r="F7" s="7" t="n">
        <v>89.90000000000001</v>
      </c>
      <c r="G7" s="7" t="n">
        <v>88.7</v>
      </c>
      <c r="H7" s="7" t="n">
        <v>91</v>
      </c>
      <c r="I7" s="7" t="n">
        <v>89.90000000000001</v>
      </c>
      <c r="J7" s="7" t="n">
        <v>116.7</v>
      </c>
      <c r="K7" s="6" t="inlineStr">
        <is>
          <t>Yes</t>
        </is>
      </c>
    </row>
    <row r="8">
      <c r="A8" s="6" t="inlineStr">
        <is>
          <t>Stage 3</t>
        </is>
      </c>
      <c r="B8" s="6" t="inlineStr">
        <is>
          <t>twobr</t>
        </is>
      </c>
      <c r="C8" s="6" t="n">
        <v>4</v>
      </c>
      <c r="D8" s="6" t="n">
        <v>3203</v>
      </c>
      <c r="E8" s="7" t="n">
        <v>92.5</v>
      </c>
      <c r="F8" s="7" t="n">
        <v>90.3</v>
      </c>
      <c r="G8" s="7" t="n">
        <v>89.09999999999999</v>
      </c>
      <c r="H8" s="7" t="n">
        <v>91.40000000000001</v>
      </c>
      <c r="I8" s="7" t="n">
        <v>90.3</v>
      </c>
      <c r="J8" s="7" t="n">
        <v>116.1</v>
      </c>
      <c r="K8" s="6" t="inlineStr">
        <is>
          <t>Yes</t>
        </is>
      </c>
    </row>
    <row r="9">
      <c r="A9" s="6" t="inlineStr">
        <is>
          <t>Stage 3</t>
        </is>
      </c>
      <c r="B9" s="6" t="inlineStr">
        <is>
          <t>twobr</t>
        </is>
      </c>
      <c r="C9" s="6" t="n">
        <v>5</v>
      </c>
      <c r="D9" s="6" t="n">
        <v>3204</v>
      </c>
      <c r="E9" s="7" t="n">
        <v>93</v>
      </c>
      <c r="F9" s="7" t="n">
        <v>90.7</v>
      </c>
      <c r="G9" s="7" t="n">
        <v>89.5</v>
      </c>
      <c r="H9" s="7" t="n">
        <v>91.8</v>
      </c>
      <c r="I9" s="7" t="n">
        <v>90.7</v>
      </c>
      <c r="J9" s="7" t="n">
        <v>115.6</v>
      </c>
      <c r="K9" s="6" t="inlineStr">
        <is>
          <t>Yes</t>
        </is>
      </c>
    </row>
    <row r="10">
      <c r="A10" s="6" t="inlineStr">
        <is>
          <t>Stage 3</t>
        </is>
      </c>
      <c r="B10" s="6" t="inlineStr">
        <is>
          <t>twobr</t>
        </is>
      </c>
      <c r="C10" s="6" t="n">
        <v>6</v>
      </c>
      <c r="D10" s="6" t="n">
        <v>3205</v>
      </c>
      <c r="E10" s="7" t="n">
        <v>93.5</v>
      </c>
      <c r="F10" s="7" t="n">
        <v>91.09999999999999</v>
      </c>
      <c r="G10" s="7" t="n">
        <v>89.90000000000001</v>
      </c>
      <c r="H10" s="7" t="n">
        <v>92.2</v>
      </c>
      <c r="I10" s="7" t="n">
        <v>91.09999999999999</v>
      </c>
      <c r="J10" s="7" t="n">
        <v>115</v>
      </c>
      <c r="K10" s="6" t="inlineStr">
        <is>
          <t>Yes</t>
        </is>
      </c>
    </row>
    <row r="11">
      <c r="A11" s="6" t="inlineStr">
        <is>
          <t>Stage 3</t>
        </is>
      </c>
      <c r="B11" s="6" t="inlineStr">
        <is>
          <t>twobr</t>
        </is>
      </c>
      <c r="C11" s="6" t="n">
        <v>7</v>
      </c>
      <c r="D11" s="6" t="n">
        <v>3206</v>
      </c>
      <c r="E11" s="7" t="n">
        <v>94</v>
      </c>
      <c r="F11" s="7" t="n">
        <v>91.5</v>
      </c>
      <c r="G11" s="7" t="n">
        <v>90.3</v>
      </c>
      <c r="H11" s="7" t="n">
        <v>92.59999999999999</v>
      </c>
      <c r="I11" s="7" t="n">
        <v>91.5</v>
      </c>
      <c r="J11" s="7" t="n">
        <v>114.5</v>
      </c>
      <c r="K11" s="6" t="inlineStr">
        <is>
          <t>Yes</t>
        </is>
      </c>
    </row>
    <row r="12">
      <c r="A12" s="6" t="inlineStr">
        <is>
          <t>Stage 3</t>
        </is>
      </c>
      <c r="B12" s="6" t="inlineStr">
        <is>
          <t>twobr</t>
        </is>
      </c>
      <c r="C12" s="6" t="n">
        <v>8</v>
      </c>
      <c r="D12" s="6" t="n">
        <v>3207</v>
      </c>
      <c r="E12" s="7" t="n">
        <v>94.5</v>
      </c>
      <c r="F12" s="7" t="n">
        <v>91.90000000000001</v>
      </c>
      <c r="G12" s="7" t="n">
        <v>90.7</v>
      </c>
      <c r="H12" s="7" t="n">
        <v>93</v>
      </c>
      <c r="I12" s="7" t="n">
        <v>91.90000000000001</v>
      </c>
      <c r="J12" s="7" t="n">
        <v>113.9</v>
      </c>
      <c r="K12" s="6" t="inlineStr">
        <is>
          <t>Yes</t>
        </is>
      </c>
    </row>
    <row r="13">
      <c r="A13" s="4" t="inlineStr">
        <is>
          <t>Summary / Mean</t>
        </is>
      </c>
      <c r="B13" s="4" t="inlineStr">
        <is>
          <t>twobr</t>
        </is>
      </c>
      <c r="C13" s="4" t="n">
        <v>8</v>
      </c>
      <c r="D13" s="4" t="inlineStr">
        <is>
          <t>—</t>
        </is>
      </c>
      <c r="E13" s="8">
        <f>ROUND(AVERAGE(E5:E12),1)</f>
        <v/>
      </c>
      <c r="F13" s="8">
        <f>ROUND(AVERAGE(F5:F12),1)</f>
        <v/>
      </c>
      <c r="G13" s="8">
        <f>ROUND(AVERAGE(G5:G12),1)</f>
        <v/>
      </c>
      <c r="H13" s="8">
        <f>ROUND(AVERAGE(H5:H12),1)</f>
        <v/>
      </c>
      <c r="I13" s="8">
        <f>ROUND(AVERAGE(I5:I12),1)</f>
        <v/>
      </c>
      <c r="J13" s="8">
        <f>ROUND(AVERAGE(J5:J12),1)</f>
        <v/>
      </c>
      <c r="K13" s="9">
        <f>COUNTIF(K5:K12,"Yes")&amp;" / "&amp;COUNT(C5:C12)</f>
        <v/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Stage 1 Summary</t>
        </is>
      </c>
    </row>
    <row r="3">
      <c r="A3" s="5" t="inlineStr">
        <is>
          <t>Stage</t>
        </is>
      </c>
      <c r="B3" s="5" t="inlineStr">
        <is>
          <t>Type</t>
        </is>
      </c>
      <c r="C3" s="5" t="inlineStr">
        <is>
          <t>Runs</t>
        </is>
      </c>
      <c r="D3" s="5" t="inlineStr">
        <is>
          <t>Mean FI</t>
        </is>
      </c>
      <c r="E3" s="5" t="inlineStr">
        <is>
          <t>Mean CS</t>
        </is>
      </c>
      <c r="F3" s="5" t="inlineStr">
        <is>
          <t>Mean UF</t>
        </is>
      </c>
      <c r="G3" s="5" t="inlineStr">
        <is>
          <t>Mean OI</t>
        </is>
      </c>
      <c r="H3" s="5" t="inlineStr">
        <is>
          <t>Mean ODP</t>
        </is>
      </c>
      <c r="I3" s="5" t="inlineStr">
        <is>
          <t>Mean Runtime (s)</t>
        </is>
      </c>
      <c r="J3" s="5" t="inlineStr">
        <is>
          <t>Hard Pass</t>
        </is>
      </c>
    </row>
    <row r="4">
      <c r="A4" s="6" t="inlineStr">
        <is>
          <t>Stage 1</t>
        </is>
      </c>
      <c r="B4" s="6" t="inlineStr">
        <is>
          <t>studio</t>
        </is>
      </c>
      <c r="C4" s="6" t="n">
        <v>8</v>
      </c>
      <c r="D4" s="7">
        <f>'Stage1_studio'!E13</f>
        <v/>
      </c>
      <c r="E4" s="7">
        <f>'Stage1_studio'!F13</f>
        <v/>
      </c>
      <c r="F4" s="7">
        <f>'Stage1_studio'!G13</f>
        <v/>
      </c>
      <c r="G4" s="7">
        <f>'Stage1_studio'!H13</f>
        <v/>
      </c>
      <c r="H4" s="7">
        <f>'Stage1_studio'!I13</f>
        <v/>
      </c>
      <c r="I4" s="7">
        <f>'Stage1_studio'!J13</f>
        <v/>
      </c>
      <c r="J4" s="6">
        <f>'Stage1_studio'!K13</f>
        <v/>
      </c>
    </row>
    <row r="5">
      <c r="A5" s="6" t="inlineStr">
        <is>
          <t>Stage 1</t>
        </is>
      </c>
      <c r="B5" s="6" t="inlineStr">
        <is>
          <t>onebr</t>
        </is>
      </c>
      <c r="C5" s="6" t="n">
        <v>8</v>
      </c>
      <c r="D5" s="7">
        <f>'Stage1_onebr'!E13</f>
        <v/>
      </c>
      <c r="E5" s="7">
        <f>'Stage1_onebr'!F13</f>
        <v/>
      </c>
      <c r="F5" s="7">
        <f>'Stage1_onebr'!G13</f>
        <v/>
      </c>
      <c r="G5" s="7">
        <f>'Stage1_onebr'!H13</f>
        <v/>
      </c>
      <c r="H5" s="7">
        <f>'Stage1_onebr'!I13</f>
        <v/>
      </c>
      <c r="I5" s="7">
        <f>'Stage1_onebr'!J13</f>
        <v/>
      </c>
      <c r="J5" s="6">
        <f>'Stage1_onebr'!K13</f>
        <v/>
      </c>
    </row>
    <row r="6">
      <c r="A6" s="6" t="inlineStr">
        <is>
          <t>Stage 1</t>
        </is>
      </c>
      <c r="B6" s="6" t="inlineStr">
        <is>
          <t>twobr</t>
        </is>
      </c>
      <c r="C6" s="6" t="n">
        <v>8</v>
      </c>
      <c r="D6" s="7">
        <f>'Stage1_twobr'!E13</f>
        <v/>
      </c>
      <c r="E6" s="7">
        <f>'Stage1_twobr'!F13</f>
        <v/>
      </c>
      <c r="F6" s="7">
        <f>'Stage1_twobr'!G13</f>
        <v/>
      </c>
      <c r="G6" s="7">
        <f>'Stage1_twobr'!H13</f>
        <v/>
      </c>
      <c r="H6" s="7">
        <f>'Stage1_twobr'!I13</f>
        <v/>
      </c>
      <c r="I6" s="7">
        <f>'Stage1_twobr'!J13</f>
        <v/>
      </c>
      <c r="J6" s="6">
        <f>'Stage1_twobr'!K13</f>
        <v/>
      </c>
    </row>
    <row r="7">
      <c r="A7" s="4" t="inlineStr">
        <is>
          <t>Overall Stage Summary</t>
        </is>
      </c>
      <c r="B7" s="4" t="inlineStr">
        <is>
          <t>—</t>
        </is>
      </c>
      <c r="C7" s="4">
        <f>SUM(C4:C6)</f>
        <v/>
      </c>
      <c r="D7" s="8">
        <f>ROUND(AVERAGE(D4:D6),1)</f>
        <v/>
      </c>
      <c r="E7" s="8">
        <f>ROUND(AVERAGE(E4:E6),1)</f>
        <v/>
      </c>
      <c r="F7" s="8">
        <f>ROUND(AVERAGE(F4:F6),1)</f>
        <v/>
      </c>
      <c r="G7" s="8">
        <f>ROUND(AVERAGE(G4:G6),1)</f>
        <v/>
      </c>
      <c r="H7" s="8">
        <f>ROUND(AVERAGE(H4:H6),1)</f>
        <v/>
      </c>
      <c r="I7" s="8">
        <f>ROUND(AVERAGE(I4:I6),1)</f>
        <v/>
      </c>
      <c r="J7" s="9">
        <f>(COUNTIF('Stage1_studio'!K5:K12,"Yes")+COUNTIF('Stage1_onebr'!K5:K12,"Yes")+COUNTIF('Stage1_twobr'!K5:K12,"Yes"))&amp;" / "&amp;SUM(C4:C6)</f>
        <v/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Stage 2 Summary</t>
        </is>
      </c>
    </row>
    <row r="3">
      <c r="A3" s="5" t="inlineStr">
        <is>
          <t>Stage</t>
        </is>
      </c>
      <c r="B3" s="5" t="inlineStr">
        <is>
          <t>Type</t>
        </is>
      </c>
      <c r="C3" s="5" t="inlineStr">
        <is>
          <t>Runs</t>
        </is>
      </c>
      <c r="D3" s="5" t="inlineStr">
        <is>
          <t>Mean FI</t>
        </is>
      </c>
      <c r="E3" s="5" t="inlineStr">
        <is>
          <t>Mean CS</t>
        </is>
      </c>
      <c r="F3" s="5" t="inlineStr">
        <is>
          <t>Mean UF</t>
        </is>
      </c>
      <c r="G3" s="5" t="inlineStr">
        <is>
          <t>Mean OI</t>
        </is>
      </c>
      <c r="H3" s="5" t="inlineStr">
        <is>
          <t>Mean ODP</t>
        </is>
      </c>
      <c r="I3" s="5" t="inlineStr">
        <is>
          <t>Mean Runtime (s)</t>
        </is>
      </c>
      <c r="J3" s="5" t="inlineStr">
        <is>
          <t>Hard Pass</t>
        </is>
      </c>
    </row>
    <row r="4">
      <c r="A4" s="6" t="inlineStr">
        <is>
          <t>Stage 2</t>
        </is>
      </c>
      <c r="B4" s="6" t="inlineStr">
        <is>
          <t>studio</t>
        </is>
      </c>
      <c r="C4" s="6" t="n">
        <v>8</v>
      </c>
      <c r="D4" s="7">
        <f>'Stage2_studio'!E13</f>
        <v/>
      </c>
      <c r="E4" s="7">
        <f>'Stage2_studio'!F13</f>
        <v/>
      </c>
      <c r="F4" s="7">
        <f>'Stage2_studio'!G13</f>
        <v/>
      </c>
      <c r="G4" s="7">
        <f>'Stage2_studio'!H13</f>
        <v/>
      </c>
      <c r="H4" s="7">
        <f>'Stage2_studio'!I13</f>
        <v/>
      </c>
      <c r="I4" s="7">
        <f>'Stage2_studio'!J13</f>
        <v/>
      </c>
      <c r="J4" s="6">
        <f>'Stage2_studio'!K13</f>
        <v/>
      </c>
    </row>
    <row r="5">
      <c r="A5" s="6" t="inlineStr">
        <is>
          <t>Stage 2</t>
        </is>
      </c>
      <c r="B5" s="6" t="inlineStr">
        <is>
          <t>onebr</t>
        </is>
      </c>
      <c r="C5" s="6" t="n">
        <v>8</v>
      </c>
      <c r="D5" s="7">
        <f>'Stage2_onebr'!E13</f>
        <v/>
      </c>
      <c r="E5" s="7">
        <f>'Stage2_onebr'!F13</f>
        <v/>
      </c>
      <c r="F5" s="7">
        <f>'Stage2_onebr'!G13</f>
        <v/>
      </c>
      <c r="G5" s="7">
        <f>'Stage2_onebr'!H13</f>
        <v/>
      </c>
      <c r="H5" s="7">
        <f>'Stage2_onebr'!I13</f>
        <v/>
      </c>
      <c r="I5" s="7">
        <f>'Stage2_onebr'!J13</f>
        <v/>
      </c>
      <c r="J5" s="6">
        <f>'Stage2_onebr'!K13</f>
        <v/>
      </c>
    </row>
    <row r="6">
      <c r="A6" s="6" t="inlineStr">
        <is>
          <t>Stage 2</t>
        </is>
      </c>
      <c r="B6" s="6" t="inlineStr">
        <is>
          <t>twobr</t>
        </is>
      </c>
      <c r="C6" s="6" t="n">
        <v>8</v>
      </c>
      <c r="D6" s="7">
        <f>'Stage2_twobr'!E13</f>
        <v/>
      </c>
      <c r="E6" s="7">
        <f>'Stage2_twobr'!F13</f>
        <v/>
      </c>
      <c r="F6" s="7">
        <f>'Stage2_twobr'!G13</f>
        <v/>
      </c>
      <c r="G6" s="7">
        <f>'Stage2_twobr'!H13</f>
        <v/>
      </c>
      <c r="H6" s="7">
        <f>'Stage2_twobr'!I13</f>
        <v/>
      </c>
      <c r="I6" s="7">
        <f>'Stage2_twobr'!J13</f>
        <v/>
      </c>
      <c r="J6" s="6">
        <f>'Stage2_twobr'!K13</f>
        <v/>
      </c>
    </row>
    <row r="7">
      <c r="A7" s="4" t="inlineStr">
        <is>
          <t>Overall Stage Summary</t>
        </is>
      </c>
      <c r="B7" s="4" t="inlineStr">
        <is>
          <t>—</t>
        </is>
      </c>
      <c r="C7" s="4">
        <f>SUM(C4:C6)</f>
        <v/>
      </c>
      <c r="D7" s="8">
        <f>ROUND(AVERAGE(D4:D6),1)</f>
        <v/>
      </c>
      <c r="E7" s="8">
        <f>ROUND(AVERAGE(E4:E6),1)</f>
        <v/>
      </c>
      <c r="F7" s="8">
        <f>ROUND(AVERAGE(F4:F6),1)</f>
        <v/>
      </c>
      <c r="G7" s="8">
        <f>ROUND(AVERAGE(G4:G6),1)</f>
        <v/>
      </c>
      <c r="H7" s="8">
        <f>ROUND(AVERAGE(H4:H6),1)</f>
        <v/>
      </c>
      <c r="I7" s="8">
        <f>ROUND(AVERAGE(I4:I6),1)</f>
        <v/>
      </c>
      <c r="J7" s="9">
        <f>(COUNTIF('Stage2_studio'!K5:K12,"Yes")+COUNTIF('Stage2_onebr'!K5:K12,"Yes")+COUNTIF('Stage2_twobr'!K5:K12,"Yes"))&amp;" / "&amp;SUM(C4:C6)</f>
        <v/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Stage 3 Summary</t>
        </is>
      </c>
    </row>
    <row r="3">
      <c r="A3" s="5" t="inlineStr">
        <is>
          <t>Stage</t>
        </is>
      </c>
      <c r="B3" s="5" t="inlineStr">
        <is>
          <t>Type</t>
        </is>
      </c>
      <c r="C3" s="5" t="inlineStr">
        <is>
          <t>Runs</t>
        </is>
      </c>
      <c r="D3" s="5" t="inlineStr">
        <is>
          <t>Mean FI</t>
        </is>
      </c>
      <c r="E3" s="5" t="inlineStr">
        <is>
          <t>Mean CS</t>
        </is>
      </c>
      <c r="F3" s="5" t="inlineStr">
        <is>
          <t>Mean UF</t>
        </is>
      </c>
      <c r="G3" s="5" t="inlineStr">
        <is>
          <t>Mean OI</t>
        </is>
      </c>
      <c r="H3" s="5" t="inlineStr">
        <is>
          <t>Mean ODP</t>
        </is>
      </c>
      <c r="I3" s="5" t="inlineStr">
        <is>
          <t>Mean Runtime (s)</t>
        </is>
      </c>
      <c r="J3" s="5" t="inlineStr">
        <is>
          <t>Hard Pass</t>
        </is>
      </c>
    </row>
    <row r="4">
      <c r="A4" s="6" t="inlineStr">
        <is>
          <t>Stage 3</t>
        </is>
      </c>
      <c r="B4" s="6" t="inlineStr">
        <is>
          <t>studio</t>
        </is>
      </c>
      <c r="C4" s="6" t="n">
        <v>8</v>
      </c>
      <c r="D4" s="7">
        <f>'Stage3_studio'!E13</f>
        <v/>
      </c>
      <c r="E4" s="7">
        <f>'Stage3_studio'!F13</f>
        <v/>
      </c>
      <c r="F4" s="7">
        <f>'Stage3_studio'!G13</f>
        <v/>
      </c>
      <c r="G4" s="7">
        <f>'Stage3_studio'!H13</f>
        <v/>
      </c>
      <c r="H4" s="7">
        <f>'Stage3_studio'!I13</f>
        <v/>
      </c>
      <c r="I4" s="7">
        <f>'Stage3_studio'!J13</f>
        <v/>
      </c>
      <c r="J4" s="6">
        <f>'Stage3_studio'!K13</f>
        <v/>
      </c>
    </row>
    <row r="5">
      <c r="A5" s="6" t="inlineStr">
        <is>
          <t>Stage 3</t>
        </is>
      </c>
      <c r="B5" s="6" t="inlineStr">
        <is>
          <t>onebr</t>
        </is>
      </c>
      <c r="C5" s="6" t="n">
        <v>8</v>
      </c>
      <c r="D5" s="7">
        <f>'Stage3_onebr'!E13</f>
        <v/>
      </c>
      <c r="E5" s="7">
        <f>'Stage3_onebr'!F13</f>
        <v/>
      </c>
      <c r="F5" s="7">
        <f>'Stage3_onebr'!G13</f>
        <v/>
      </c>
      <c r="G5" s="7">
        <f>'Stage3_onebr'!H13</f>
        <v/>
      </c>
      <c r="H5" s="7">
        <f>'Stage3_onebr'!I13</f>
        <v/>
      </c>
      <c r="I5" s="7">
        <f>'Stage3_onebr'!J13</f>
        <v/>
      </c>
      <c r="J5" s="6">
        <f>'Stage3_onebr'!K13</f>
        <v/>
      </c>
    </row>
    <row r="6">
      <c r="A6" s="6" t="inlineStr">
        <is>
          <t>Stage 3</t>
        </is>
      </c>
      <c r="B6" s="6" t="inlineStr">
        <is>
          <t>twobr</t>
        </is>
      </c>
      <c r="C6" s="6" t="n">
        <v>8</v>
      </c>
      <c r="D6" s="7">
        <f>'Stage3_twobr'!E13</f>
        <v/>
      </c>
      <c r="E6" s="7">
        <f>'Stage3_twobr'!F13</f>
        <v/>
      </c>
      <c r="F6" s="7">
        <f>'Stage3_twobr'!G13</f>
        <v/>
      </c>
      <c r="G6" s="7">
        <f>'Stage3_twobr'!H13</f>
        <v/>
      </c>
      <c r="H6" s="7">
        <f>'Stage3_twobr'!I13</f>
        <v/>
      </c>
      <c r="I6" s="7">
        <f>'Stage3_twobr'!J13</f>
        <v/>
      </c>
      <c r="J6" s="6">
        <f>'Stage3_twobr'!K13</f>
        <v/>
      </c>
    </row>
    <row r="7">
      <c r="A7" s="4" t="inlineStr">
        <is>
          <t>Overall Stage Summary</t>
        </is>
      </c>
      <c r="B7" s="4" t="inlineStr">
        <is>
          <t>—</t>
        </is>
      </c>
      <c r="C7" s="4">
        <f>SUM(C4:C6)</f>
        <v/>
      </c>
      <c r="D7" s="8">
        <f>ROUND(AVERAGE(D4:D6),1)</f>
        <v/>
      </c>
      <c r="E7" s="8">
        <f>ROUND(AVERAGE(E4:E6),1)</f>
        <v/>
      </c>
      <c r="F7" s="8">
        <f>ROUND(AVERAGE(F4:F6),1)</f>
        <v/>
      </c>
      <c r="G7" s="8">
        <f>ROUND(AVERAGE(G4:G6),1)</f>
        <v/>
      </c>
      <c r="H7" s="8">
        <f>ROUND(AVERAGE(H4:H6),1)</f>
        <v/>
      </c>
      <c r="I7" s="8">
        <f>ROUND(AVERAGE(I4:I6),1)</f>
        <v/>
      </c>
      <c r="J7" s="9">
        <f>(COUNTIF('Stage3_studio'!K5:K12,"Yes")+COUNTIF('Stage3_onebr'!K5:K12,"Yes")+COUNTIF('Stage3_twobr'!K5:K12,"Yes"))&amp;" / "&amp;SUM(C4:C6)</f>
        <v/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All Stages Summary</t>
        </is>
      </c>
    </row>
    <row r="3">
      <c r="A3" s="5" t="inlineStr">
        <is>
          <t>Stage</t>
        </is>
      </c>
      <c r="B3" s="5" t="inlineStr">
        <is>
          <t>Total Runs</t>
        </is>
      </c>
      <c r="C3" s="5" t="inlineStr">
        <is>
          <t>Mean FI</t>
        </is>
      </c>
      <c r="D3" s="5" t="inlineStr">
        <is>
          <t>Mean CS</t>
        </is>
      </c>
      <c r="E3" s="5" t="inlineStr">
        <is>
          <t>Mean UF</t>
        </is>
      </c>
      <c r="F3" s="5" t="inlineStr">
        <is>
          <t>Mean OI</t>
        </is>
      </c>
      <c r="G3" s="5" t="inlineStr">
        <is>
          <t>Mean ODP</t>
        </is>
      </c>
      <c r="H3" s="5" t="inlineStr">
        <is>
          <t>Mean Runtime (s)</t>
        </is>
      </c>
      <c r="I3" s="5" t="inlineStr">
        <is>
          <t>Hard Pass</t>
        </is>
      </c>
    </row>
    <row r="4">
      <c r="A4" s="6" t="inlineStr">
        <is>
          <t>Stage 1</t>
        </is>
      </c>
      <c r="B4" s="6">
        <f>'Stage1_Summary'!C7</f>
        <v/>
      </c>
      <c r="C4" s="7">
        <f>'Stage1_Summary'!D7</f>
        <v/>
      </c>
      <c r="D4" s="7">
        <f>'Stage1_Summary'!E7</f>
        <v/>
      </c>
      <c r="E4" s="7">
        <f>'Stage1_Summary'!F7</f>
        <v/>
      </c>
      <c r="F4" s="7">
        <f>'Stage1_Summary'!G7</f>
        <v/>
      </c>
      <c r="G4" s="7">
        <f>'Stage1_Summary'!H7</f>
        <v/>
      </c>
      <c r="H4" s="7">
        <f>'Stage1_Summary'!I7</f>
        <v/>
      </c>
      <c r="I4" s="6">
        <f>'Stage1_Summary'!J7</f>
        <v/>
      </c>
    </row>
    <row r="5">
      <c r="A5" s="6" t="inlineStr">
        <is>
          <t>Stage 2</t>
        </is>
      </c>
      <c r="B5" s="6">
        <f>'Stage2_Summary'!C7</f>
        <v/>
      </c>
      <c r="C5" s="7">
        <f>'Stage2_Summary'!D7</f>
        <v/>
      </c>
      <c r="D5" s="7">
        <f>'Stage2_Summary'!E7</f>
        <v/>
      </c>
      <c r="E5" s="7">
        <f>'Stage2_Summary'!F7</f>
        <v/>
      </c>
      <c r="F5" s="7">
        <f>'Stage2_Summary'!G7</f>
        <v/>
      </c>
      <c r="G5" s="7">
        <f>'Stage2_Summary'!H7</f>
        <v/>
      </c>
      <c r="H5" s="7">
        <f>'Stage2_Summary'!I7</f>
        <v/>
      </c>
      <c r="I5" s="6">
        <f>'Stage2_Summary'!J7</f>
        <v/>
      </c>
    </row>
    <row r="6">
      <c r="A6" s="6" t="inlineStr">
        <is>
          <t>Stage 3</t>
        </is>
      </c>
      <c r="B6" s="6">
        <f>'Stage3_Summary'!C7</f>
        <v/>
      </c>
      <c r="C6" s="7">
        <f>'Stage3_Summary'!D7</f>
        <v/>
      </c>
      <c r="D6" s="7">
        <f>'Stage3_Summary'!E7</f>
        <v/>
      </c>
      <c r="E6" s="7">
        <f>'Stage3_Summary'!F7</f>
        <v/>
      </c>
      <c r="F6" s="7">
        <f>'Stage3_Summary'!G7</f>
        <v/>
      </c>
      <c r="G6" s="7">
        <f>'Stage3_Summary'!H7</f>
        <v/>
      </c>
      <c r="H6" s="7">
        <f>'Stage3_Summary'!I7</f>
        <v/>
      </c>
      <c r="I6" s="6">
        <f>'Stage3_Summary'!J7</f>
        <v/>
      </c>
    </row>
    <row r="7">
      <c r="A7" s="4" t="inlineStr">
        <is>
          <t>Grand Total</t>
        </is>
      </c>
      <c r="B7" s="4">
        <f>SUM(B4:B6)</f>
        <v/>
      </c>
      <c r="C7" s="8">
        <f>ROUND(AVERAGE(C4:C6),1)</f>
        <v/>
      </c>
      <c r="D7" s="8">
        <f>ROUND(AVERAGE(D4:D6),1)</f>
        <v/>
      </c>
      <c r="E7" s="8">
        <f>ROUND(AVERAGE(E4:E6),1)</f>
        <v/>
      </c>
      <c r="F7" s="8">
        <f>ROUND(AVERAGE(F4:F6),1)</f>
        <v/>
      </c>
      <c r="G7" s="8">
        <f>ROUND(AVERAGE(G4:G6),1)</f>
        <v/>
      </c>
      <c r="H7" s="8">
        <f>ROUND(AVERAGE(H4:H6),1)</f>
        <v/>
      </c>
      <c r="I7" s="9">
        <f>(COUNTIF(Stage1_studio!K5:K12,"Yes")+COUNTIF(Stage1_onebr!K5:K12,"Yes")+COUNTIF(Stage1_twobr!K5:K12,"Yes")+COUNTIF(Stage2_studio!K5:K12,"Yes")+COUNTIF(Stage2_onebr!K5:K12,"Yes")+COUNTIF(Stage2_twobr!K5:K12,"Yes")+COUNTIF(Stage3_studio!K5:K12,"Yes")+COUNTIF(Stage3_onebr!K5:K12,"Yes")+COUNTIF(Stage3_twobr!K5:K12,"Yes"))&amp;" / "&amp;SUM(B4:B6)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2026-03-16T20:43:39Z</dcterms:created>
  <dcterms:modified xmlns:dcterms="http://purl.org/dc/terms/" xmlns:xsi="http://www.w3.org/2001/XMLSchema-instance" xsi:type="dcterms:W3CDTF">2026-03-16T20:44:07Z</dcterms:modified>
</cp:coreProperties>
</file>